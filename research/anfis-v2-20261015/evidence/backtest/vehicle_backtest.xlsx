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7844b3e97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47a5c5a87443c6"/>
    <x:sheet xmlns:r="http://schemas.openxmlformats.org/officeDocument/2006/relationships" name="Vehicles" sheetId="2" r:id="Re6e92f9ee976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"/>
    <x:numFmt numFmtId="202" formatCode="0.0%"/>
  </x:numFmts>
  <x:fonts count="6">
    <x:font>
      <x:sz val="11"/>
      <x:name val="Carlito"/>
    </x:font>
    <x:font>
      <x:sz val="10"/>
      <x:color rgb="FF203047"/>
      <x:name val="Arial"/>
    </x:font>
    <x:font>
      <x:b/>
      <x:sz val="10"/>
      <x:color rgb="FFFFFFFF"/>
      <x:name val="Arial"/>
    </x:font>
    <x:font>
      <x:b/>
      <x:sz val="15"/>
      <x:color rgb="FF203047"/>
      <x:name val="Arial"/>
    </x:font>
    <x:font>
      <x:b/>
      <x:sz val="10"/>
      <x:color rgb="FF203047"/>
      <x:name val="Arial"/>
    </x:font>
    <x:font>
      <x:b/>
      <x:sz val="10"/>
      <x:color rgb="FF8B4D1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E57"/>
      </x:patternFill>
    </x:fill>
    <x:fill>
      <x:patternFill patternType="solid">
        <x:fgColor rgb="FFFBE9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color rgb="FF9D3232"/>
      </x:font>
    </x:dxf>
    <x:dxf>
      <x:font>
        <x:b/>
        <x:color rgb="FF8B4D12"/>
      </x:font>
      <x:fill>
        <x:patternFill patternType="solid">
          <x:bgColor rgb="FFFBE9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2a804d95a246d3" /><Relationship Type="http://schemas.openxmlformats.org/officeDocument/2006/relationships/theme" Target="/xl/theme/theme1.xml" Id="R2d4dfcdc34904cb1" /><Relationship Type="http://schemas.openxmlformats.org/officeDocument/2006/relationships/sharedStrings" Target="/xl/sharedStrings.xml" Id="R1fe04fb69c2b4efe" /><Relationship Type="http://schemas.openxmlformats.org/officeDocument/2006/relationships/worksheet" Target="/xl/worksheets/sheet1.xml" Id="Rc047a5c5a87443c6" /><Relationship Type="http://schemas.openxmlformats.org/officeDocument/2006/relationships/worksheet" Target="/xl/worksheets/sheet2.xml" Id="Re6e92f9ee9764b39" /></Relationships>
</file>

<file path=xl/tables/table1.xml><?xml version="1.0" encoding="utf-8"?>
<x:table xmlns:x="http://schemas.openxmlformats.org/spreadsheetml/2006/main" id="1" name="VehicleComparisons" displayName="VehicleComparisons" ref="A1:T137" headerRowCount="1" totalsRowCount="0" totalsRowShown="0">
  <x:tableColumns count="20">
    <x:tableColumn id="1" name="Recording ID"/>
    <x:tableColumn id="2" name="Direction"/>
    <x:tableColumn id="3" name="Vehicle ID"/>
    <x:tableColumn id="4" name="Class"/>
    <x:tableColumn id="5" name="Recorded delay (s)"/>
    <x:tableColumn id="6" name="Baseline delay (s)"/>
    <x:tableColumn id="7" name="Old model delay (s)"/>
    <x:tableColumn id="8" name="New model delay (s)"/>
    <x:tableColumn id="9" name="Baseline minus new (s)"/>
    <x:tableColumn id="10" name="Old minus new (s)"/>
    <x:tableColumn id="11" name="Recorded minus new (s)"/>
    <x:tableColumn id="12" name="New served (1=yes)"/>
    <x:tableColumn id="13" name="Old served (1=yes)"/>
    <x:tableColumn id="14" name="Baseline error (s)"/>
    <x:tableColumn id="15" name="Abs. baseline error (s)"/>
    <x:tableColumn id="16" name="Horizon (s)"/>
    <x:tableColumn id="17" name="Ready (s)"/>
    <x:tableColumn id="18" name="New entry (s)"/>
    <x:tableColumn id="19" name="Old entry (s)"/>
    <x:tableColumn id="20" name="Recorded entry (s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e8d12730d5458a" /></Relationships>
</file>

<file path=xl/worksheets/sheet1.xml><?xml version="1.0" encoding="utf-8"?>
<x:worksheet xmlns:x="http://schemas.openxmlformats.org/spreadsheetml/2006/main">
  <x:sheetPr>
    <x:tabColor rgb="FF263E57"/>
  </x:sheetPr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9" t="str">
        <x:v>Vehicle-by-vehicle delay backtest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4" customHeight="1">
      <x:c r="A3" s="2" t="str">
        <x:v>136 scored E/W vehicles. Previously inspected recordings reused for development.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4" customHeight="1">
      <x:c r="A4" s="2" t="str">
        <x:v>25 May baseline screen failed. Prioritize 26 May. Positive savings mean lower new-model delay.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8" customHeight="1">
      <x:c r="A6" s="8" t="str">
        <x:v>Recording</x:v>
      </x:c>
      <x:c r="B6" s="8" t="str">
        <x:v>Vehicles</x:v>
      </x:c>
      <x:c r="C6" s="8" t="str">
        <x:v>Recorded mean (s)</x:v>
      </x:c>
      <x:c r="D6" s="8" t="str">
        <x:v>Baseline mean (s)</x:v>
      </x:c>
      <x:c r="E6" s="8" t="str">
        <x:v>Old mean (s)</x:v>
      </x:c>
      <x:c r="F6" s="8" t="str">
        <x:v>New mean (s)</x:v>
      </x:c>
      <x:c r="G6" s="8" t="str">
        <x:v>Baseline savings (s)</x:v>
      </x:c>
      <x:c r="H6" s="8" t="str">
        <x:v>Baseline reduction</x:v>
      </x:c>
      <x:c r="I6" s="8" t="str">
        <x:v>New unfinished</x:v>
      </x:c>
      <x:c r="J6" s="8" t="str">
        <x:v>Old unfinished</x:v>
      </x:c>
      <x:c r="K6" s="8" t="str">
        <x:v>Baseline screen</x:v>
      </x:c>
    </x:row>
    <x:row r="7" ht="24" customHeight="1">
      <x:c r="A7" s="2" t="str">
        <x:v>25 May 2025</x:v>
      </x:c>
      <x:c r="B7" s="2" t="n">
        <x:f>COUNTIFS('Vehicles'!$A$2:$A$137,"20250525")</x:f>
        <x:v>27</x:v>
      </x:c>
      <x:c r="C7" s="3" t="n">
        <x:f>AVERAGEIFS('Vehicles'!$E$2:$E$137,'Vehicles'!$A$2:$A$137,"20250525")</x:f>
        <x:v>42.97365811365267</x:v>
      </x:c>
      <x:c r="D7" s="3" t="n">
        <x:f>AVERAGEIFS('Vehicles'!$F$2:$F$137,'Vehicles'!$A$2:$A$137,"20250525")</x:f>
        <x:v>37.71230716679049</x:v>
      </x:c>
      <x:c r="E7" s="3" t="n">
        <x:f>AVERAGEIFS('Vehicles'!$G$2:$G$137,'Vehicles'!$A$2:$A$137,"20250525")</x:f>
        <x:v>64.76603771575871</x:v>
      </x:c>
      <x:c r="F7" s="3" t="n">
        <x:f>AVERAGEIFS('Vehicles'!$H$2:$H$137,'Vehicles'!$A$2:$A$137,"20250525")</x:f>
        <x:v>16.49043844313914</x:v>
      </x:c>
      <x:c r="G7" s="3" t="n">
        <x:f>D7-F7</x:f>
        <x:v>21.221868723651347</x:v>
      </x:c>
      <x:c r="H7" s="10" t="n">
        <x:f>G7/D7</x:f>
        <x:v>0.5627305863253934</x:v>
      </x:c>
      <x:c r="I7" s="2" t="n">
        <x:f>COUNTIFS('Vehicles'!$A$2:$A$137,"20250525",'Vehicles'!$L$2:$L$137,0)</x:f>
        <x:v>2</x:v>
      </x:c>
      <x:c r="J7" s="2" t="n">
        <x:f>COUNTIFS('Vehicles'!$A$2:$A$137,"20250525",'Vehicles'!$M$2:$M$137,0)</x:f>
        <x:v>1</x:v>
      </x:c>
      <x:c r="K7" s="15" t="str">
        <x:v>Failed</x:v>
      </x:c>
    </x:row>
    <x:row r="8" ht="24" customHeight="1">
      <x:c r="A8" s="2" t="str">
        <x:v>26 May 2025</x:v>
      </x:c>
      <x:c r="B8" s="2" t="n">
        <x:f>COUNTIFS('Vehicles'!$A$2:$A$137,"20250526")</x:f>
        <x:v>109</x:v>
      </x:c>
      <x:c r="C8" s="3" t="n">
        <x:f>AVERAGEIFS('Vehicles'!$E$2:$E$137,'Vehicles'!$A$2:$A$137,"20250526")</x:f>
        <x:v>50.62530461680856</x:v>
      </x:c>
      <x:c r="D8" s="3" t="n">
        <x:f>AVERAGEIFS('Vehicles'!$F$2:$F$137,'Vehicles'!$A$2:$A$137,"20250526")</x:f>
        <x:v>47.9828390543165</x:v>
      </x:c>
      <x:c r="E8" s="3" t="n">
        <x:f>AVERAGEIFS('Vehicles'!$G$2:$G$137,'Vehicles'!$A$2:$A$137,"20250526")</x:f>
        <x:v>56.20344174744753</x:v>
      </x:c>
      <x:c r="F8" s="3" t="n">
        <x:f>AVERAGEIFS('Vehicles'!$H$2:$H$137,'Vehicles'!$A$2:$A$137,"20250526")</x:f>
        <x:v>41.67042054315098</x:v>
      </x:c>
      <x:c r="G8" s="3" t="n">
        <x:f>D8-F8</x:f>
        <x:v>6.312418511165518</x:v>
      </x:c>
      <x:c r="H8" s="10" t="n">
        <x:f>G8/D8</x:f>
        <x:v>0.13155575275610246</x:v>
      </x:c>
      <x:c r="I8" s="2" t="n">
        <x:f>COUNTIFS('Vehicles'!$A$2:$A$137,"20250526",'Vehicles'!$L$2:$L$137,0)</x:f>
        <x:v>0</x:v>
      </x:c>
      <x:c r="J8" s="2" t="n">
        <x:f>COUNTIFS('Vehicles'!$A$2:$A$137,"20250526",'Vehicles'!$M$2:$M$137,0)</x:f>
        <x:v>1</x:v>
      </x:c>
      <x:c r="K8" s="2" t="str">
        <x:v>Passed</x:v>
      </x:c>
    </x:row>
    <x:row r="9" ht="24" customHeight="1">
      <x:c r="A9" s="11" t="str">
        <x:v>Combined</x:v>
      </x:c>
      <x:c r="B9" s="11" t="n">
        <x:f>COUNTA('Vehicles'!$C$2:$C$137)</x:f>
        <x:v>136</x:v>
      </x:c>
      <x:c r="C9" s="12" t="n">
        <x:f>AVERAGE('Vehicles'!$E$2:$E$137)</x:f>
        <x:v>49.10622773750553</x:v>
      </x:c>
      <x:c r="D9" s="12" t="n">
        <x:f>AVERAGE('Vehicles'!$F$2:$F$137)</x:f>
        <x:v>45.9438364001753</x:v>
      </x:c>
      <x:c r="E9" s="12" t="n">
        <x:f>AVERAGE('Vehicles'!$G$2:$G$137)</x:f>
        <x:v>57.9033688882152</x:v>
      </x:c>
      <x:c r="F9" s="12" t="n">
        <x:f>AVERAGE('Vehicles'!$H$2:$H$137)</x:f>
        <x:v>36.671453508589806</x:v>
      </x:c>
      <x:c r="G9" s="12" t="n">
        <x:f>D9-F9</x:f>
        <x:v>9.272382891585494</x:v>
      </x:c>
      <x:c r="H9" s="13" t="n">
        <x:f>G9/D9</x:f>
        <x:v>0.2018199527532297</x:v>
      </x:c>
      <x:c r="I9" s="11" t="n">
        <x:f>COUNTIFS('Vehicles'!$L$2:$L$137,0)</x:f>
        <x:v>2</x:v>
      </x:c>
      <x:c r="J9" s="11" t="n">
        <x:f>COUNTIFS('Vehicles'!$M$2:$M$137,0)</x:f>
        <x:v>2</x:v>
      </x:c>
      <x:c r="K9" s="11" t="str">
        <x:v>Mixed</x:v>
      </x:c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8" customHeight="1">
      <x:c r="A12" s="8" t="str">
        <x:v>Indicative delay bands</x:v>
      </x:c>
      <x:c r="B12" s="8" t="str">
        <x:v>Baseline</x:v>
      </x:c>
      <x:c r="C12" s="8" t="str">
        <x:v>Old model</x:v>
      </x:c>
      <x:c r="D12" s="8" t="str">
        <x:v>New model</x:v>
      </x:c>
      <x:c r="E12" s="8" t="str">
        <x:v>Verified LOS</x:v>
      </x:c>
      <x:c r="F12" s="2"/>
      <x:c r="G12" s="2"/>
      <x:c r="H12" s="2"/>
      <x:c r="I12" s="2"/>
      <x:c r="J12" s="2"/>
      <x:c r="K12" s="2"/>
    </x:row>
    <x:row r="13" ht="24" customHeight="1">
      <x:c r="A13" s="2" t="str">
        <x:v>25 May 2025</x:v>
      </x:c>
      <x:c r="B13" s="2" t="str">
        <x:f>IF(D7&lt;=10,"A",IF(D7&lt;=20,"B",IF(D7&lt;=35,"C",IF(D7&lt;=55,"D",IF(D7&lt;=80,"E","F")))))</x:f>
        <x:v>D</x:v>
      </x:c>
      <x:c r="C13" s="2" t="str">
        <x:f>IF(E7&lt;=10,"A",IF(E7&lt;=20,"B",IF(E7&lt;=35,"C",IF(E7&lt;=55,"D",IF(E7&lt;=80,"E","F")))))</x:f>
        <x:v>E</x:v>
      </x:c>
      <x:c r="D13" s="2" t="str">
        <x:f>IF(F7&lt;=10,"A",IF(F7&lt;=20,"B",IF(F7&lt;=35,"C",IF(F7&lt;=55,"D",IF(F7&lt;=80,"E","F")))))</x:f>
        <x:v>B</x:v>
      </x:c>
      <x:c r="E13" s="2" t="str">
        <x:v>Not established</x:v>
      </x:c>
      <x:c r="F13" s="2"/>
      <x:c r="G13" s="2"/>
      <x:c r="H13" s="2"/>
      <x:c r="I13" s="2"/>
      <x:c r="J13" s="2"/>
      <x:c r="K13" s="2"/>
    </x:row>
    <x:row r="14" ht="24" customHeight="1">
      <x:c r="A14" s="2" t="str">
        <x:v>26 May 2025</x:v>
      </x:c>
      <x:c r="B14" s="2" t="str">
        <x:f>IF(D8&lt;=10,"A",IF(D8&lt;=20,"B",IF(D8&lt;=35,"C",IF(D8&lt;=55,"D",IF(D8&lt;=80,"E","F")))))</x:f>
        <x:v>D</x:v>
      </x:c>
      <x:c r="C14" s="2" t="str">
        <x:f>IF(E8&lt;=10,"A",IF(E8&lt;=20,"B",IF(E8&lt;=35,"C",IF(E8&lt;=55,"D",IF(E8&lt;=80,"E","F")))))</x:f>
        <x:v>E</x:v>
      </x:c>
      <x:c r="D14" s="2" t="str">
        <x:f>IF(F8&lt;=10,"A",IF(F8&lt;=20,"B",IF(F8&lt;=35,"C",IF(F8&lt;=55,"D",IF(F8&lt;=80,"E","F")))))</x:f>
        <x:v>D</x:v>
      </x:c>
      <x:c r="E14" s="2" t="str">
        <x:v>Not established</x:v>
      </x:c>
      <x:c r="F14" s="2"/>
      <x:c r="G14" s="2"/>
      <x:c r="H14" s="2"/>
      <x:c r="I14" s="2"/>
      <x:c r="J14" s="2"/>
      <x:c r="K14" s="2"/>
    </x:row>
    <x:row r="15" ht="24" customHeight="1">
      <x:c r="A15" s="2" t="str">
        <x:v>Combined</x:v>
      </x:c>
      <x:c r="B15" s="2" t="str">
        <x:f>IF(D9&lt;=10,"A",IF(D9&lt;=20,"B",IF(D9&lt;=35,"C",IF(D9&lt;=55,"D",IF(D9&lt;=80,"E","F")))))</x:f>
        <x:v>D</x:v>
      </x:c>
      <x:c r="C15" s="2" t="str">
        <x:f>IF(E9&lt;=10,"A",IF(E9&lt;=20,"B",IF(E9&lt;=35,"C",IF(E9&lt;=55,"D",IF(E9&lt;=80,"E","F")))))</x:f>
        <x:v>E</x:v>
      </x:c>
      <x:c r="D15" s="2" t="str">
        <x:f>IF(F9&lt;=10,"A",IF(F9&lt;=20,"B",IF(F9&lt;=35,"C",IF(F9&lt;=55,"D",IF(F9&lt;=80,"E","F")))))</x:f>
        <x:v>D</x:v>
      </x:c>
      <x:c r="E15" s="2" t="str">
        <x:v>Not established</x:v>
      </x:c>
      <x:c r="F15" s="2"/>
      <x:c r="G15" s="2"/>
      <x:c r="H15" s="2"/>
      <x:c r="I15" s="2"/>
      <x:c r="J15" s="2"/>
      <x:c r="K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  <x:row r="17" ht="24" customHeight="1">
      <x:c r="A17" s="2" t="str">
        <x:v>Bands apply to mean corridor-delay proxies, not individual vehicles or full intersection control delay.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4" customHeight="1">
      <x:c r="A18" s="2" t="str">
        <x:v>26 May: both E and W pass baseline checks; new model serves all 109 scored vehicles.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4" customHeight="1">
      <x:c r="A19" s="2" t="str">
        <x:v>25 May: two new-model vehicles unfinished; delay to the shared horizon remains included.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24" customHeight="1">
      <x:c r="A22" s="11" t="str">
        <x:v>Sensitivity results from frozen simulation runs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38" customHeight="1">
      <x:c r="A23" s="8" t="str">
        <x:v>Scenario</x:v>
      </x:c>
      <x:c r="B23" s="8" t="str">
        <x:v>26 May savings (s)</x:v>
      </x:c>
      <x:c r="C23" s="8" t="str">
        <x:v>Combined savings (s)</x:v>
      </x:c>
      <x:c r="D23" s="8" t="str">
        <x:v>26 May reduction</x:v>
      </x:c>
      <x:c r="E23" s="2"/>
      <x:c r="F23" s="2"/>
      <x:c r="G23" s="2"/>
      <x:c r="H23" s="2"/>
      <x:c r="I23" s="2"/>
      <x:c r="J23" s="2"/>
      <x:c r="K23" s="2"/>
    </x:row>
    <x:row r="24" ht="24" customHeight="1">
      <x:c r="A24" s="2" t="str">
        <x:v>primary</x:v>
      </x:c>
      <x:c r="B24" s="3" t="n">
        <x:v>6.312418511165518</x:v>
      </x:c>
      <x:c r="C24" s="3" t="n">
        <x:v>9.272382891585508</x:v>
      </x:c>
      <x:c r="D24" s="10" t="n">
        <x:v>0.1315557527561025</x:v>
      </x:c>
      <x:c r="E24" s="2"/>
      <x:c r="F24" s="2"/>
      <x:c r="G24" s="2"/>
      <x:c r="H24" s="2"/>
      <x:c r="I24" s="2"/>
      <x:c r="J24" s="2"/>
      <x:c r="K24" s="2"/>
    </x:row>
    <x:row r="25" ht="24" customHeight="1">
      <x:c r="A25" s="2" t="str">
        <x:v>headway minus20pct</x:v>
      </x:c>
      <x:c r="B25" s="3" t="n">
        <x:v>6.433416971851393</x:v>
      </x:c>
      <x:c r="C25" s="3" t="n">
        <x:v>9.388343659449653</x:v>
      </x:c>
      <x:c r="D25" s="10" t="n">
        <x:v>0.1351588026052874</x:v>
      </x:c>
      <x:c r="E25" s="2"/>
      <x:c r="F25" s="2"/>
      <x:c r="G25" s="2"/>
      <x:c r="H25" s="2"/>
      <x:c r="I25" s="2"/>
      <x:c r="J25" s="2"/>
      <x:c r="K25" s="2"/>
    </x:row>
    <x:row r="26" ht="24" customHeight="1">
      <x:c r="A26" s="2" t="str">
        <x:v>headway plus20pct</x:v>
      </x:c>
      <x:c r="B26" s="3" t="n">
        <x:v>6.212716351327167</x:v>
      </x:c>
      <x:c r="C26" s="3" t="n">
        <x:v>9.124214231700712</x:v>
      </x:c>
      <x:c r="D26" s="10" t="n">
        <x:v>0.12839233125858182</x:v>
      </x:c>
      <x:c r="E26" s="2"/>
      <x:c r="F26" s="2"/>
      <x:c r="G26" s="2"/>
      <x:c r="H26" s="2"/>
      <x:c r="I26" s="2"/>
      <x:c r="J26" s="2"/>
      <x:c r="K26" s="2"/>
    </x:row>
    <x:row r="27" ht="24" customHeight="1">
      <x:c r="A27" s="2" t="str">
        <x:v>startup minus1sec</x:v>
      </x:c>
      <x:c r="B27" s="3" t="n">
        <x:v>6.26654695153249</x:v>
      </x:c>
      <x:c r="C27" s="3" t="n">
        <x:v>9.19171989316466</x:v>
      </x:c>
      <x:c r="D27" s="10" t="n">
        <x:v>0.13288646199317047</x:v>
      </x:c>
      <x:c r="E27" s="2"/>
      <x:c r="F27" s="2"/>
      <x:c r="G27" s="2"/>
      <x:c r="H27" s="2"/>
      <x:c r="I27" s="2"/>
      <x:c r="J27" s="2"/>
      <x:c r="K27" s="2"/>
    </x:row>
    <x:row r="28" ht="24" customHeight="1">
      <x:c r="A28" s="2" t="str">
        <x:v>startup plus1sec</x:v>
      </x:c>
      <x:c r="B28" s="3" t="n">
        <x:v>6.368241005397053</x:v>
      </x:c>
      <x:c r="C28" s="3" t="n">
        <x:v>9.352703256706633</x:v>
      </x:c>
      <x:c r="D28" s="10" t="n">
        <x:v>0.1304473481796984</x:v>
      </x:c>
      <x:c r="E28" s="2"/>
      <x:c r="F28" s="2"/>
      <x:c r="G28" s="2"/>
      <x:c r="H28" s="2"/>
      <x:c r="I28" s="2"/>
      <x:c r="J28" s="2"/>
      <x:c r="K28" s="2"/>
    </x:row>
    <x:row r="29" ht="24" customHeight="1">
      <x:c r="A29" s="2" t="str">
        <x:v>freeflow minus20pct</x:v>
      </x:c>
      <x:c r="B29" s="3" t="n">
        <x:v>6.264549205857648</x:v>
      </x:c>
      <x:c r="C29" s="3" t="n">
        <x:v>6.979398341538328</x:v>
      </x:c>
      <x:c r="D29" s="10" t="n">
        <x:v>0.1328113386027656</x:v>
      </x:c>
      <x:c r="E29" s="2"/>
      <x:c r="F29" s="2"/>
      <x:c r="G29" s="2"/>
      <x:c r="H29" s="2"/>
      <x:c r="I29" s="2"/>
      <x:c r="J29" s="2"/>
      <x:c r="K29" s="2"/>
    </x:row>
    <x:row r="30" ht="24" customHeight="1">
      <x:c r="A30" s="2" t="str">
        <x:v>freeflow plus20pct</x:v>
      </x:c>
      <x:c r="B30" s="3" t="n">
        <x:v>3.473787091159032</x:v>
      </x:c>
      <x:c r="C30" s="3" t="n">
        <x:v>7.014116676508472</x:v>
      </x:c>
      <x:c r="D30" s="10" t="n">
        <x:v>0.07158158372991749</x:v>
      </x:c>
      <x:c r="E30" s="2"/>
      <x:c r="F30" s="2"/>
      <x:c r="G30" s="2"/>
      <x:c r="H30" s="2"/>
      <x:c r="I30" s="2"/>
      <x:c r="J30" s="2"/>
      <x:c r="K30" s="2"/>
    </x:row>
    <x:row r="31" ht="24" customHeight="1">
      <x:c r="A31" s="2" t="str">
        <x:v>no yellow service</x:v>
      </x:c>
      <x:c r="B31" s="3" t="n">
        <x:v>3.435884668234621</x:v>
      </x:c>
      <x:c r="C31" s="3" t="n">
        <x:v>8.800684465200213</x:v>
      </x:c>
      <x:c r="D31" s="10" t="n">
        <x:v>0.07139254329896806</x:v>
      </x:c>
      <x:c r="E31" s="2"/>
      <x:c r="F31" s="2"/>
      <x:c r="G31" s="2"/>
      <x:c r="H31" s="2"/>
      <x:c r="I31" s="2"/>
      <x:c r="J31" s="2"/>
      <x:c r="K31" s="2"/>
    </x:row>
    <x:row r="32" ht="24" customHeight="1">
      <x:c r="A32" s="2" t="str">
        <x:v>roi width minus25pct</x:v>
      </x:c>
      <x:c r="B32" s="3" t="n">
        <x:v>3.6260435203230728</x:v>
      </x:c>
      <x:c r="C32" s="3" t="n">
        <x:v>3.705790486698149</x:v>
      </x:c>
      <x:c r="D32" s="10" t="n">
        <x:v>0.07556959095768381</x:v>
      </x:c>
      <x:c r="E32" s="2"/>
      <x:c r="F32" s="2"/>
      <x:c r="G32" s="2"/>
      <x:c r="H32" s="2"/>
      <x:c r="I32" s="2"/>
      <x:c r="J32" s="2"/>
      <x:c r="K32" s="2"/>
    </x:row>
    <x:row r="33" ht="24" customHeight="1">
      <x:c r="A33" s="2" t="str">
        <x:v>roi width plus25pct</x:v>
      </x:c>
      <x:c r="B33" s="3" t="n">
        <x:v>4.748093791410646</x:v>
      </x:c>
      <x:c r="C33" s="3" t="n">
        <x:v>7.939423504320459</x:v>
      </x:c>
      <x:c r="D33" s="10" t="n">
        <x:v>0.09895399865847482</x:v>
      </x:c>
      <x:c r="E33" s="2"/>
      <x:c r="F33" s="2"/>
      <x:c r="G33" s="2"/>
      <x:c r="H33" s="2"/>
      <x:c r="I33" s="2"/>
      <x:c r="J33" s="2"/>
      <x:c r="K33" s="2"/>
    </x:row>
    <x:row r="34" ht="24" customHeight="1">
      <x:c r="A34" s="2" t="str">
        <x:v>app default roi width</x:v>
      </x:c>
      <x:c r="B34" s="3" t="n">
        <x:v>6.4765898460912865</x:v>
      </x:c>
      <x:c r="C34" s="3" t="n">
        <x:v>9.198828613793125</x:v>
      </x:c>
      <x:c r="D34" s="10" t="n">
        <x:v>0.13497721213952762</x:v>
      </x:c>
      <x:c r="E34" s="2"/>
      <x:c r="F34" s="2"/>
      <x:c r="G34" s="2"/>
      <x:c r="H34" s="2"/>
      <x:c r="I34" s="2"/>
      <x:c r="J34" s="2"/>
      <x:c r="K34" s="2"/>
    </x:row>
    <x:row r="35" ht="24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</x:row>
    <x:row r="36" ht="24" customHeight="1">
      <x:c r="A36" s="2" t="str">
        <x:v>All 11 scenarios retained. No fit or model tuning on these outcomes. Sensitivities are not confidence intervals.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</x:row>
    <x:row r="37" ht="24" customHeight="1">
      <x:c r="A37" s="2" t="str">
        <x:v>45 m FIFO approximation; shared E/W green, recorded red intervals. Competing movements are unscored.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</x:cols>
  <x:sheetData>
    <x:row r="1" ht="38" customHeight="1">
      <x:c r="A1" s="8" t="str">
        <x:v>Recording ID</x:v>
      </x:c>
      <x:c r="B1" s="8" t="str">
        <x:v>Direction</x:v>
      </x:c>
      <x:c r="C1" s="8" t="str">
        <x:v>Vehicle ID</x:v>
      </x:c>
      <x:c r="D1" s="8" t="str">
        <x:v>Class</x:v>
      </x:c>
      <x:c r="E1" s="8" t="str">
        <x:v>Recorded delay (s)</x:v>
      </x:c>
      <x:c r="F1" s="8" t="str">
        <x:v>Baseline delay (s)</x:v>
      </x:c>
      <x:c r="G1" s="8" t="str">
        <x:v>Old model delay (s)</x:v>
      </x:c>
      <x:c r="H1" s="8" t="str">
        <x:v>New model delay (s)</x:v>
      </x:c>
      <x:c r="I1" s="8" t="str">
        <x:v>Baseline minus new (s)</x:v>
      </x:c>
      <x:c r="J1" s="8" t="str">
        <x:v>Old minus new (s)</x:v>
      </x:c>
      <x:c r="K1" s="8" t="str">
        <x:v>Recorded minus new (s)</x:v>
      </x:c>
      <x:c r="L1" s="8" t="str">
        <x:v>New served (1=yes)</x:v>
      </x:c>
      <x:c r="M1" s="8" t="str">
        <x:v>Old served (1=yes)</x:v>
      </x:c>
      <x:c r="N1" s="8" t="str">
        <x:v>Baseline error (s)</x:v>
      </x:c>
      <x:c r="O1" s="8" t="str">
        <x:v>Abs. baseline error (s)</x:v>
      </x:c>
      <x:c r="P1" s="8" t="str">
        <x:v>Horizon (s)</x:v>
      </x:c>
      <x:c r="Q1" s="8" t="str">
        <x:v>Ready (s)</x:v>
      </x:c>
      <x:c r="R1" s="8" t="str">
        <x:v>New entry (s)</x:v>
      </x:c>
      <x:c r="S1" s="8" t="str">
        <x:v>Old entry (s)</x:v>
      </x:c>
      <x:c r="T1" s="8" t="str">
        <x:v>Recorded entry (s)</x:v>
      </x:c>
    </x:row>
    <x:row r="2" ht="20" customHeight="1">
      <x:c r="A2" s="2" t="str">
        <x:v>20250525</x:v>
      </x:c>
      <x:c r="B2" s="2" t="str">
        <x:v>E</x:v>
      </x:c>
      <x:c r="C2" s="2" t="str">
        <x:v>69</x:v>
      </x:c>
      <x:c r="D2" s="2" t="str">
        <x:v>car</x:v>
      </x:c>
      <x:c r="E2" s="3" t="n">
        <x:v>30.09648623232561</x:v>
      </x:c>
      <x:c r="F2" s="3" t="n">
        <x:v>30.256486232325607</x:v>
      </x:c>
      <x:c r="G2" s="3" t="n">
        <x:v>30.256486232325607</x:v>
      </x:c>
      <x:c r="H2" s="3" t="n">
        <x:v>30.256486232325607</x:v>
      </x:c>
      <x:c r="I2" s="3" t="n">
        <x:f>F2-H2</x:f>
        <x:v>0</x:v>
      </x:c>
      <x:c r="J2" s="3" t="n">
        <x:f>G2-H2</x:f>
        <x:v>0</x:v>
      </x:c>
      <x:c r="K2" s="3" t="n">
        <x:f>E2-H2</x:f>
        <x:v>-0.1599999999999966</x:v>
      </x:c>
      <x:c r="L2" s="4" t="n">
        <x:v>1</x:v>
      </x:c>
      <x:c r="M2" s="4" t="n">
        <x:v>1</x:v>
      </x:c>
      <x:c r="N2" s="3" t="n">
        <x:f>F2-E2</x:f>
        <x:v>0.1599999999999966</x:v>
      </x:c>
      <x:c r="O2" s="3" t="n">
        <x:f>ABS(N2)</x:f>
        <x:v>0.1599999999999966</x:v>
      </x:c>
      <x:c r="P2" s="3" t="n">
        <x:v>407.4</x:v>
      </x:c>
      <x:c r="Q2" s="3" t="n">
        <x:v>10.603513767674391</x:v>
      </x:c>
      <x:c r="R2" s="3" t="n">
        <x:v>40.86</x:v>
      </x:c>
      <x:c r="S2" s="3" t="n">
        <x:v>40.86</x:v>
      </x:c>
      <x:c r="T2" s="3" t="n">
        <x:v>40.7</x:v>
      </x:c>
    </x:row>
    <x:row r="3" ht="20" customHeight="1">
      <x:c r="A3" s="2" t="str">
        <x:v>20250525</x:v>
      </x:c>
      <x:c r="B3" s="2" t="str">
        <x:v>E</x:v>
      </x:c>
      <x:c r="C3" s="2" t="str">
        <x:v>103</x:v>
      </x:c>
      <x:c r="D3" s="2" t="str">
        <x:v>car</x:v>
      </x:c>
      <x:c r="E3" s="3" t="n">
        <x:v>26.235952827153195</x:v>
      </x:c>
      <x:c r="F3" s="3" t="n">
        <x:v>23.695952827153196</x:v>
      </x:c>
      <x:c r="G3" s="3" t="n">
        <x:v>23.695952827153196</x:v>
      </x:c>
      <x:c r="H3" s="3" t="n">
        <x:v>23.695952827153196</x:v>
      </x:c>
      <x:c r="I3" s="3" t="n">
        <x:f>F3-H3</x:f>
        <x:v>0</x:v>
      </x:c>
      <x:c r="J3" s="3" t="n">
        <x:f>G3-H3</x:f>
        <x:v>0</x:v>
      </x:c>
      <x:c r="K3" s="3" t="n">
        <x:f>E3-H3</x:f>
        <x:v>2.539999999999999</x:v>
      </x:c>
      <x:c r="L3" s="4" t="n">
        <x:v>1</x:v>
      </x:c>
      <x:c r="M3" s="4" t="n">
        <x:v>1</x:v>
      </x:c>
      <x:c r="N3" s="3" t="n">
        <x:f>F3-E3</x:f>
        <x:v>-2.539999999999999</x:v>
      </x:c>
      <x:c r="O3" s="3" t="n">
        <x:f>ABS(N3)</x:f>
        <x:v>2.539999999999999</x:v>
      </x:c>
      <x:c r="P3" s="3" t="n">
        <x:v>407.4</x:v>
      </x:c>
      <x:c r="Q3" s="3" t="n">
        <x:v>18.264047172846805</x:v>
      </x:c>
      <x:c r="R3" s="3" t="n">
        <x:v>41.96</x:v>
      </x:c>
      <x:c r="S3" s="3" t="n">
        <x:v>41.96</x:v>
      </x:c>
      <x:c r="T3" s="3" t="n">
        <x:v>44.5</x:v>
      </x:c>
    </x:row>
    <x:row r="4" ht="20" customHeight="1">
      <x:c r="A4" s="2" t="str">
        <x:v>20250525</x:v>
      </x:c>
      <x:c r="B4" s="2" t="str">
        <x:v>E</x:v>
      </x:c>
      <x:c r="C4" s="2" t="str">
        <x:v>133</x:v>
      </x:c>
      <x:c r="D4" s="2" t="str">
        <x:v>car</x:v>
      </x:c>
      <x:c r="E4" s="3" t="n">
        <x:v>9.308190943350379</x:v>
      </x:c>
      <x:c r="F4" s="3" t="n">
        <x:v>14.868190943350381</x:v>
      </x:c>
      <x:c r="G4" s="3" t="n">
        <x:v>14.868190943350381</x:v>
      </x:c>
      <x:c r="H4" s="3" t="n">
        <x:v>14.868190943350381</x:v>
      </x:c>
      <x:c r="I4" s="3" t="n">
        <x:f>F4-H4</x:f>
        <x:v>0</x:v>
      </x:c>
      <x:c r="J4" s="3" t="n">
        <x:f>G4-H4</x:f>
        <x:v>0</x:v>
      </x:c>
      <x:c r="K4" s="3" t="n">
        <x:f>E4-H4</x:f>
        <x:v>-5.560000000000002</x:v>
      </x:c>
      <x:c r="L4" s="4" t="n">
        <x:v>1</x:v>
      </x:c>
      <x:c r="M4" s="4" t="n">
        <x:v>1</x:v>
      </x:c>
      <x:c r="N4" s="3" t="n">
        <x:f>F4-E4</x:f>
        <x:v>5.560000000000002</x:v>
      </x:c>
      <x:c r="O4" s="3" t="n">
        <x:f>ABS(N4)</x:f>
        <x:v>5.560000000000002</x:v>
      </x:c>
      <x:c r="P4" s="3" t="n">
        <x:v>407.4</x:v>
      </x:c>
      <x:c r="Q4" s="3" t="n">
        <x:v>28.19180905664962</x:v>
      </x:c>
      <x:c r="R4" s="3" t="n">
        <x:v>43.06</x:v>
      </x:c>
      <x:c r="S4" s="3" t="n">
        <x:v>43.06</x:v>
      </x:c>
      <x:c r="T4" s="3" t="n">
        <x:v>37.5</x:v>
      </x:c>
    </x:row>
    <x:row r="5" ht="20" customHeight="1">
      <x:c r="A5" s="2" t="str">
        <x:v>20250525</x:v>
      </x:c>
      <x:c r="B5" s="2" t="str">
        <x:v>E</x:v>
      </x:c>
      <x:c r="C5" s="2" t="str">
        <x:v>139</x:v>
      </x:c>
      <x:c r="D5" s="2" t="str">
        <x:v>car</x:v>
      </x:c>
      <x:c r="E5" s="3" t="n">
        <x:v>13.538115417732907</x:v>
      </x:c>
      <x:c r="F5" s="3" t="n">
        <x:v>13.09811541773291</x:v>
      </x:c>
      <x:c r="G5" s="3" t="n">
        <x:v>13.09811541773291</x:v>
      </x:c>
      <x:c r="H5" s="3" t="n">
        <x:v>13.09811541773291</x:v>
      </x:c>
      <x:c r="I5" s="3" t="n">
        <x:f>F5-H5</x:f>
        <x:v>0</x:v>
      </x:c>
      <x:c r="J5" s="3" t="n">
        <x:f>G5-H5</x:f>
        <x:v>0</x:v>
      </x:c>
      <x:c r="K5" s="3" t="n">
        <x:f>E5-H5</x:f>
        <x:v>0.4399999999999977</x:v>
      </x:c>
      <x:c r="L5" s="4" t="n">
        <x:v>1</x:v>
      </x:c>
      <x:c r="M5" s="4" t="n">
        <x:v>1</x:v>
      </x:c>
      <x:c r="N5" s="3" t="n">
        <x:f>F5-E5</x:f>
        <x:v>-0.4399999999999977</x:v>
      </x:c>
      <x:c r="O5" s="3" t="n">
        <x:f>ABS(N5)</x:f>
        <x:v>0.4399999999999977</x:v>
      </x:c>
      <x:c r="P5" s="3" t="n">
        <x:v>407.4</x:v>
      </x:c>
      <x:c r="Q5" s="3" t="n">
        <x:v>31.061884582267094</x:v>
      </x:c>
      <x:c r="R5" s="3" t="n">
        <x:v>44.160000000000004</x:v>
      </x:c>
      <x:c r="S5" s="3" t="n">
        <x:v>44.160000000000004</x:v>
      </x:c>
      <x:c r="T5" s="3" t="n">
        <x:v>44.6</x:v>
      </x:c>
    </x:row>
    <x:row r="6" ht="20" customHeight="1">
      <x:c r="A6" s="2" t="str">
        <x:v>20250525</x:v>
      </x:c>
      <x:c r="B6" s="2" t="str">
        <x:v>E</x:v>
      </x:c>
      <x:c r="C6" s="2" t="str">
        <x:v>151</x:v>
      </x:c>
      <x:c r="D6" s="2" t="str">
        <x:v>car</x:v>
      </x:c>
      <x:c r="E6" s="3" t="n">
        <x:v>10.20479657715319</x:v>
      </x:c>
      <x:c r="F6" s="3" t="n">
        <x:v>8.664796577153197</x:v>
      </x:c>
      <x:c r="G6" s="3" t="n">
        <x:v>8.664796577153197</x:v>
      </x:c>
      <x:c r="H6" s="3" t="n">
        <x:v>8.664796577153197</x:v>
      </x:c>
      <x:c r="I6" s="3" t="n">
        <x:f>F6-H6</x:f>
        <x:v>0</x:v>
      </x:c>
      <x:c r="J6" s="3" t="n">
        <x:f>G6-H6</x:f>
        <x:v>0</x:v>
      </x:c>
      <x:c r="K6" s="3" t="n">
        <x:f>E6-H6</x:f>
        <x:v>1.539999999999992</x:v>
      </x:c>
      <x:c r="L6" s="4" t="n">
        <x:v>1</x:v>
      </x:c>
      <x:c r="M6" s="4" t="n">
        <x:v>1</x:v>
      </x:c>
      <x:c r="N6" s="3" t="n">
        <x:f>F6-E6</x:f>
        <x:v>-1.539999999999992</x:v>
      </x:c>
      <x:c r="O6" s="3" t="n">
        <x:f>ABS(N6)</x:f>
        <x:v>1.539999999999992</x:v>
      </x:c>
      <x:c r="P6" s="3" t="n">
        <x:v>407.4</x:v>
      </x:c>
      <x:c r="Q6" s="3" t="n">
        <x:v>36.59520342284681</x:v>
      </x:c>
      <x:c r="R6" s="3" t="n">
        <x:v>45.260000000000005</x:v>
      </x:c>
      <x:c r="S6" s="3" t="n">
        <x:v>45.260000000000005</x:v>
      </x:c>
      <x:c r="T6" s="3" t="n">
        <x:v>46.8</x:v>
      </x:c>
    </x:row>
    <x:row r="7" ht="20" customHeight="1">
      <x:c r="A7" s="2" t="str">
        <x:v>20250525</x:v>
      </x:c>
      <x:c r="B7" s="2" t="str">
        <x:v>E</x:v>
      </x:c>
      <x:c r="C7" s="2" t="str">
        <x:v>305</x:v>
      </x:c>
      <x:c r="D7" s="2" t="str">
        <x:v>car</x:v>
      </x:c>
      <x:c r="E7" s="3" t="n">
        <x:v>56.05746324381987</x:v>
      </x:c>
      <x:c r="F7" s="3" t="n">
        <x:v>52.65746324381986</x:v>
      </x:c>
      <x:c r="G7" s="3" t="n">
        <x:v>46.85746324381985</x:v>
      </x:c>
      <x:c r="H7" s="3" t="n">
        <x:v>75.77746324381987</x:v>
      </x:c>
      <x:c r="I7" s="3" t="n">
        <x:f>F7-H7</x:f>
        <x:v>-23.120000000000005</x:v>
      </x:c>
      <x:c r="J7" s="3" t="n">
        <x:f>G7-H7</x:f>
        <x:v>-28.920000000000016</x:v>
      </x:c>
      <x:c r="K7" s="3" t="n">
        <x:f>E7-H7</x:f>
        <x:v>-19.72</x:v>
      </x:c>
      <x:c r="L7" s="4" t="n">
        <x:v>1</x:v>
      </x:c>
      <x:c r="M7" s="4" t="n">
        <x:v>1</x:v>
      </x:c>
      <x:c r="N7" s="3" t="n">
        <x:f>F7-E7</x:f>
        <x:v>-3.4000000000000057</x:v>
      </x:c>
      <x:c r="O7" s="3" t="n">
        <x:f>ABS(N7)</x:f>
        <x:v>3.4000000000000057</x:v>
      </x:c>
      <x:c r="P7" s="3" t="n">
        <x:v>407.4</x:v>
      </x:c>
      <x:c r="Q7" s="3" t="n">
        <x:v>125.34253675618014</x:v>
      </x:c>
      <x:c r="R7" s="3" t="n">
        <x:v>201.12</x:v>
      </x:c>
      <x:c r="S7" s="3" t="n">
        <x:v>172.2</x:v>
      </x:c>
      <x:c r="T7" s="3" t="n">
        <x:v>181.4</x:v>
      </x:c>
    </x:row>
    <x:row r="8" ht="20" customHeight="1">
      <x:c r="A8" s="2" t="str">
        <x:v>20250525</x:v>
      </x:c>
      <x:c r="B8" s="2" t="str">
        <x:v>E</x:v>
      </x:c>
      <x:c r="C8" s="2" t="str">
        <x:v>612</x:v>
      </x:c>
      <x:c r="D8" s="2" t="str">
        <x:v>car</x:v>
      </x:c>
      <x:c r="E8" s="3" t="n">
        <x:v>78.95930173179238</x:v>
      </x:c>
      <x:c r="F8" s="3" t="n">
        <x:v>78.75930173179239</x:v>
      </x:c>
      <x:c r="G8" s="3" t="n">
        <x:v>63.95930173179238</x:v>
      </x:c>
      <x:c r="H8" s="3" t="n">
        <x:v>0</x:v>
      </x:c>
      <x:c r="I8" s="3" t="n">
        <x:f>F8-H8</x:f>
        <x:v>78.75930173179239</x:v>
      </x:c>
      <x:c r="J8" s="3" t="n">
        <x:f>G8-H8</x:f>
        <x:v>63.95930173179238</x:v>
      </x:c>
      <x:c r="K8" s="3" t="n">
        <x:f>E8-H8</x:f>
        <x:v>78.95930173179238</x:v>
      </x:c>
      <x:c r="L8" s="4" t="n">
        <x:v>1</x:v>
      </x:c>
      <x:c r="M8" s="4" t="n">
        <x:v>1</x:v>
      </x:c>
      <x:c r="N8" s="3" t="n">
        <x:f>F8-E8</x:f>
        <x:v>-0.19999999999998863</x:v>
      </x:c>
      <x:c r="O8" s="3" t="n">
        <x:f>ABS(N8)</x:f>
        <x:v>0.19999999999998863</x:v>
      </x:c>
      <x:c r="P8" s="3" t="n">
        <x:v>407.4</x:v>
      </x:c>
      <x:c r="Q8" s="3" t="n">
        <x:v>248.2406982682076</x:v>
      </x:c>
      <x:c r="R8" s="3" t="n">
        <x:v>248.2406982682076</x:v>
      </x:c>
      <x:c r="S8" s="3" t="n">
        <x:v>312.2</x:v>
      </x:c>
      <x:c r="T8" s="3" t="n">
        <x:v>327.2</x:v>
      </x:c>
    </x:row>
    <x:row r="9" ht="20" customHeight="1">
      <x:c r="A9" s="2" t="str">
        <x:v>20250525</x:v>
      </x:c>
      <x:c r="B9" s="2" t="str">
        <x:v>E</x:v>
      </x:c>
      <x:c r="C9" s="2" t="str">
        <x:v>636</x:v>
      </x:c>
      <x:c r="D9" s="2" t="str">
        <x:v>car</x:v>
      </x:c>
      <x:c r="E9" s="3" t="n">
        <x:v>66.20202608534987</x:v>
      </x:c>
      <x:c r="F9" s="3" t="n">
        <x:v>67.40202608534992</x:v>
      </x:c>
      <x:c r="G9" s="3" t="n">
        <x:v>52.602026085349905</x:v>
      </x:c>
      <x:c r="H9" s="3" t="n">
        <x:v>0</x:v>
      </x:c>
      <x:c r="I9" s="3" t="n">
        <x:f>F9-H9</x:f>
        <x:v>67.40202608534992</x:v>
      </x:c>
      <x:c r="J9" s="3" t="n">
        <x:f>G9-H9</x:f>
        <x:v>52.602026085349905</x:v>
      </x:c>
      <x:c r="K9" s="3" t="n">
        <x:f>E9-H9</x:f>
        <x:v>66.20202608534987</x:v>
      </x:c>
      <x:c r="L9" s="4" t="n">
        <x:v>1</x:v>
      </x:c>
      <x:c r="M9" s="4" t="n">
        <x:v>1</x:v>
      </x:c>
      <x:c r="N9" s="3" t="n">
        <x:f>F9-E9</x:f>
        <x:v>1.2000000000000455</x:v>
      </x:c>
      <x:c r="O9" s="3" t="n">
        <x:f>ABS(N9)</x:f>
        <x:v>1.2000000000000455</x:v>
      </x:c>
      <x:c r="P9" s="3" t="n">
        <x:v>407.4</x:v>
      </x:c>
      <x:c r="Q9" s="3" t="n">
        <x:v>260.6979739146501</x:v>
      </x:c>
      <x:c r="R9" s="3" t="n">
        <x:v>260.6979739146501</x:v>
      </x:c>
      <x:c r="S9" s="3" t="n">
        <x:v>313.3</x:v>
      </x:c>
      <x:c r="T9" s="3" t="n">
        <x:v>326.9</x:v>
      </x:c>
    </x:row>
    <x:row r="10" ht="20" customHeight="1">
      <x:c r="A10" s="2" t="str">
        <x:v>20250525</x:v>
      </x:c>
      <x:c r="B10" s="2" t="str">
        <x:v>E</x:v>
      </x:c>
      <x:c r="C10" s="2" t="str">
        <x:v>660</x:v>
      </x:c>
      <x:c r="D10" s="2" t="str">
        <x:v>car</x:v>
      </x:c>
      <x:c r="E10" s="3" t="n">
        <x:v>59.63611403747069</x:v>
      </x:c>
      <x:c r="F10" s="3" t="n">
        <x:v>57.336114037470736</x:v>
      </x:c>
      <x:c r="G10" s="3" t="n">
        <x:v>42.536114037470725</x:v>
      </x:c>
      <x:c r="H10" s="3" t="n">
        <x:v>0</x:v>
      </x:c>
      <x:c r="I10" s="3" t="n">
        <x:f>F10-H10</x:f>
        <x:v>57.336114037470736</x:v>
      </x:c>
      <x:c r="J10" s="3" t="n">
        <x:f>G10-H10</x:f>
        <x:v>42.536114037470725</x:v>
      </x:c>
      <x:c r="K10" s="3" t="n">
        <x:f>E10-H10</x:f>
        <x:v>59.63611403747069</x:v>
      </x:c>
      <x:c r="L10" s="4" t="n">
        <x:v>1</x:v>
      </x:c>
      <x:c r="M10" s="4" t="n">
        <x:v>1</x:v>
      </x:c>
      <x:c r="N10" s="3" t="n">
        <x:f>F10-E10</x:f>
        <x:v>-2.2999999999999545</x:v>
      </x:c>
      <x:c r="O10" s="3" t="n">
        <x:f>ABS(N10)</x:f>
        <x:v>2.2999999999999545</x:v>
      </x:c>
      <x:c r="P10" s="3" t="n">
        <x:v>407.4</x:v>
      </x:c>
      <x:c r="Q10" s="3" t="n">
        <x:v>271.8638859625293</x:v>
      </x:c>
      <x:c r="R10" s="3" t="n">
        <x:v>271.8638859625293</x:v>
      </x:c>
      <x:c r="S10" s="3" t="n">
        <x:v>314.40000000000003</x:v>
      </x:c>
      <x:c r="T10" s="3" t="n">
        <x:v>331.5</x:v>
      </x:c>
    </x:row>
    <x:row r="11" ht="20" customHeight="1">
      <x:c r="A11" s="2" t="str">
        <x:v>20250525</x:v>
      </x:c>
      <x:c r="B11" s="2" t="str">
        <x:v>E</x:v>
      </x:c>
      <x:c r="C11" s="2" t="str">
        <x:v>667</x:v>
      </x:c>
      <x:c r="D11" s="2" t="str">
        <x:v>car</x:v>
      </x:c>
      <x:c r="E11" s="3" t="n">
        <x:v>55.82905744671842</x:v>
      </x:c>
      <x:c r="F11" s="3" t="n">
        <x:v>54.4290574467185</x:v>
      </x:c>
      <x:c r="G11" s="3" t="n">
        <x:v>39.62905744671849</x:v>
      </x:c>
      <x:c r="H11" s="3" t="n">
        <x:v>0</x:v>
      </x:c>
      <x:c r="I11" s="3" t="n">
        <x:f>F11-H11</x:f>
        <x:v>54.4290574467185</x:v>
      </x:c>
      <x:c r="J11" s="3" t="n">
        <x:f>G11-H11</x:f>
        <x:v>39.62905744671849</x:v>
      </x:c>
      <x:c r="K11" s="3" t="n">
        <x:f>E11-H11</x:f>
        <x:v>55.82905744671842</x:v>
      </x:c>
      <x:c r="L11" s="4" t="n">
        <x:v>1</x:v>
      </x:c>
      <x:c r="M11" s="4" t="n">
        <x:v>1</x:v>
      </x:c>
      <x:c r="N11" s="3" t="n">
        <x:f>F11-E11</x:f>
        <x:v>-1.3999999999999204</x:v>
      </x:c>
      <x:c r="O11" s="3" t="n">
        <x:f>ABS(N11)</x:f>
        <x:v>1.3999999999999204</x:v>
      </x:c>
      <x:c r="P11" s="3" t="n">
        <x:v>407.4</x:v>
      </x:c>
      <x:c r="Q11" s="3" t="n">
        <x:v>275.87094255328157</x:v>
      </x:c>
      <x:c r="R11" s="3" t="n">
        <x:v>275.87094255328157</x:v>
      </x:c>
      <x:c r="S11" s="3" t="n">
        <x:v>315.50000000000006</x:v>
      </x:c>
      <x:c r="T11" s="3" t="n">
        <x:v>331.7</x:v>
      </x:c>
    </x:row>
    <x:row r="12" ht="20" customHeight="1">
      <x:c r="A12" s="2" t="str">
        <x:v>20250525</x:v>
      </x:c>
      <x:c r="B12" s="2" t="str">
        <x:v>E</x:v>
      </x:c>
      <x:c r="C12" s="2" t="str">
        <x:v>671</x:v>
      </x:c>
      <x:c r="D12" s="2" t="str">
        <x:v>car</x:v>
      </x:c>
      <x:c r="E12" s="3" t="n">
        <x:v>57.37053341925849</x:v>
      </x:c>
      <x:c r="F12" s="3" t="n">
        <x:v>54.67053341925856</x:v>
      </x:c>
      <x:c r="G12" s="3" t="n">
        <x:v>39.87053341925855</x:v>
      </x:c>
      <x:c r="H12" s="3" t="n">
        <x:v>0.2414759725400586</x:v>
      </x:c>
      <x:c r="I12" s="3" t="n">
        <x:f>F12-H12</x:f>
        <x:v>54.4290574467185</x:v>
      </x:c>
      <x:c r="J12" s="3" t="n">
        <x:f>G12-H12</x:f>
        <x:v>39.62905744671849</x:v>
      </x:c>
      <x:c r="K12" s="3" t="n">
        <x:f>E12-H12</x:f>
        <x:v>57.129057446718434</x:v>
      </x:c>
      <x:c r="L12" s="4" t="n">
        <x:v>1</x:v>
      </x:c>
      <x:c r="M12" s="4" t="n">
        <x:v>1</x:v>
      </x:c>
      <x:c r="N12" s="3" t="n">
        <x:f>F12-E12</x:f>
        <x:v>-2.699999999999932</x:v>
      </x:c>
      <x:c r="O12" s="3" t="n">
        <x:f>ABS(N12)</x:f>
        <x:v>2.699999999999932</x:v>
      </x:c>
      <x:c r="P12" s="3" t="n">
        <x:v>407.4</x:v>
      </x:c>
      <x:c r="Q12" s="3" t="n">
        <x:v>276.72946658074153</x:v>
      </x:c>
      <x:c r="R12" s="3" t="n">
        <x:v>276.9709425532816</x:v>
      </x:c>
      <x:c r="S12" s="3" t="n">
        <x:v>316.6000000000001</x:v>
      </x:c>
      <x:c r="T12" s="3" t="n">
        <x:v>334.1</x:v>
      </x:c>
    </x:row>
    <x:row r="13" ht="20" customHeight="1">
      <x:c r="A13" s="2" t="str">
        <x:v>20250525</x:v>
      </x:c>
      <x:c r="B13" s="2" t="str">
        <x:v>E</x:v>
      </x:c>
      <x:c r="C13" s="2" t="str">
        <x:v>703</x:v>
      </x:c>
      <x:c r="D13" s="2" t="str">
        <x:v>car</x:v>
      </x:c>
      <x:c r="E13" s="3" t="n">
        <x:v>37.745270261363714</x:v>
      </x:c>
      <x:c r="F13" s="3" t="n">
        <x:v>44.54527026136384</x:v>
      </x:c>
      <x:c r="G13" s="3" t="n">
        <x:v>29.745270261363828</x:v>
      </x:c>
      <x:c r="H13" s="3" t="n">
        <x:v>0</x:v>
      </x:c>
      <x:c r="I13" s="3" t="n">
        <x:f>F13-H13</x:f>
        <x:v>44.54527026136384</x:v>
      </x:c>
      <x:c r="J13" s="3" t="n">
        <x:f>G13-H13</x:f>
        <x:v>29.745270261363828</x:v>
      </x:c>
      <x:c r="K13" s="3" t="n">
        <x:f>E13-H13</x:f>
        <x:v>37.745270261363714</x:v>
      </x:c>
      <x:c r="L13" s="4" t="n">
        <x:v>1</x:v>
      </x:c>
      <x:c r="M13" s="4" t="n">
        <x:v>1</x:v>
      </x:c>
      <x:c r="N13" s="3" t="n">
        <x:f>F13-E13</x:f>
        <x:v>6.800000000000125</x:v>
      </x:c>
      <x:c r="O13" s="3" t="n">
        <x:f>ABS(N13)</x:f>
        <x:v>6.800000000000125</x:v>
      </x:c>
      <x:c r="P13" s="3" t="n">
        <x:v>407.4</x:v>
      </x:c>
      <x:c r="Q13" s="3" t="n">
        <x:v>287.9547297386363</x:v>
      </x:c>
      <x:c r="R13" s="3" t="n">
        <x:v>287.9547297386363</x:v>
      </x:c>
      <x:c r="S13" s="3" t="n">
        <x:v>317.7000000000001</x:v>
      </x:c>
      <x:c r="T13" s="3" t="n">
        <x:v>325.7</x:v>
      </x:c>
    </x:row>
    <x:row r="14" ht="20" customHeight="1">
      <x:c r="A14" s="2" t="str">
        <x:v>20250525</x:v>
      </x:c>
      <x:c r="B14" s="2" t="str">
        <x:v>E</x:v>
      </x:c>
      <x:c r="C14" s="2" t="str">
        <x:v>778</x:v>
      </x:c>
      <x:c r="D14" s="2" t="str">
        <x:v>car</x:v>
      </x:c>
      <x:c r="E14" s="3" t="n">
        <x:v>6.470918528372749</x:v>
      </x:c>
      <x:c r="F14" s="3" t="n">
        <x:v>1.470918528372863</x:v>
      </x:c>
      <x:c r="G14" s="3" t="n">
        <x:v>0</x:v>
      </x:c>
      <x:c r="H14" s="3" t="n">
        <x:v>75.2709185283727</x:v>
      </x:c>
      <x:c r="I14" s="3" t="n">
        <x:f>F14-H14</x:f>
        <x:v>-73.79999999999984</x:v>
      </x:c>
      <x:c r="J14" s="3" t="n">
        <x:f>G14-H14</x:f>
        <x:v>-75.2709185283727</x:v>
      </x:c>
      <x:c r="K14" s="3" t="n">
        <x:f>E14-H14</x:f>
        <x:v>-68.79999999999995</x:v>
      </x:c>
      <x:c r="L14" s="4" t="n">
        <x:v>0</x:v>
      </x:c>
      <x:c r="M14" s="4" t="n">
        <x:v>1</x:v>
      </x:c>
      <x:c r="N14" s="3" t="n">
        <x:f>F14-E14</x:f>
        <x:v>-4.999999999999886</x:v>
      </x:c>
      <x:c r="O14" s="3" t="n">
        <x:f>ABS(N14)</x:f>
        <x:v>4.999999999999886</x:v>
      </x:c>
      <x:c r="P14" s="3" t="n">
        <x:v>407.4</x:v>
      </x:c>
      <x:c r="Q14" s="3" t="n">
        <x:v>332.1290814716273</x:v>
      </x:c>
      <x:c r="R14" s="3"/>
      <x:c r="S14" s="3" t="n">
        <x:v>332.1290814716273</x:v>
      </x:c>
      <x:c r="T14" s="3" t="n">
        <x:v>338.6</x:v>
      </x:c>
    </x:row>
    <x:row r="15" ht="20" customHeight="1">
      <x:c r="A15" s="2" t="str">
        <x:v>20250525</x:v>
      </x:c>
      <x:c r="B15" s="2" t="str">
        <x:v>W</x:v>
      </x:c>
      <x:c r="C15" s="2" t="str">
        <x:v>185</x:v>
      </x:c>
      <x:c r="D15" s="2" t="str">
        <x:v>car</x:v>
      </x:c>
      <x:c r="E15" s="3" t="n">
        <x:v>1.3348322147651004</x:v>
      </x:c>
      <x:c r="F15" s="3" t="n">
        <x:v>0</x:v>
      </x:c>
      <x:c r="G15" s="3" t="n">
        <x:v>0</x:v>
      </x:c>
      <x:c r="H15" s="3" t="n">
        <x:v>0</x:v>
      </x:c>
      <x:c r="I15" s="3" t="n">
        <x:f>F15-H15</x:f>
        <x:v>0</x:v>
      </x:c>
      <x:c r="J15" s="3" t="n">
        <x:f>G15-H15</x:f>
        <x:v>0</x:v>
      </x:c>
      <x:c r="K15" s="3" t="n">
        <x:f>E15-H15</x:f>
        <x:v>1.3348322147651004</x:v>
      </x:c>
      <x:c r="L15" s="4" t="n">
        <x:v>1</x:v>
      </x:c>
      <x:c r="M15" s="4" t="n">
        <x:v>1</x:v>
      </x:c>
      <x:c r="N15" s="3" t="n">
        <x:f>F15-E15</x:f>
        <x:v>-1.3348322147651004</x:v>
      </x:c>
      <x:c r="O15" s="3" t="n">
        <x:f>ABS(N15)</x:f>
        <x:v>1.3348322147651004</x:v>
      </x:c>
      <x:c r="P15" s="3" t="n">
        <x:v>407.4</x:v>
      </x:c>
      <x:c r="Q15" s="3" t="n">
        <x:v>56.1651677852349</x:v>
      </x:c>
      <x:c r="R15" s="3" t="n">
        <x:v>56.1651677852349</x:v>
      </x:c>
      <x:c r="S15" s="3" t="n">
        <x:v>56.1651677852349</x:v>
      </x:c>
      <x:c r="T15" s="3" t="n">
        <x:v>57.5</x:v>
      </x:c>
    </x:row>
    <x:row r="16" ht="20" customHeight="1">
      <x:c r="A16" s="2" t="str">
        <x:v>20250525</x:v>
      </x:c>
      <x:c r="B16" s="2" t="str">
        <x:v>W</x:v>
      </x:c>
      <x:c r="C16" s="2" t="str">
        <x:v>189</x:v>
      </x:c>
      <x:c r="D16" s="2" t="str">
        <x:v>truck</x:v>
      </x:c>
      <x:c r="E16" s="3" t="n">
        <x:v>1.821498881431765</x:v>
      </x:c>
      <x:c r="F16" s="3" t="n">
        <x:v>0</x:v>
      </x:c>
      <x:c r="G16" s="3" t="n">
        <x:v>113.92149888143175</x:v>
      </x:c>
      <x:c r="H16" s="3" t="n">
        <x:v>0</x:v>
      </x:c>
      <x:c r="I16" s="3" t="n">
        <x:f>F16-H16</x:f>
        <x:v>0</x:v>
      </x:c>
      <x:c r="J16" s="3" t="n">
        <x:f>G16-H16</x:f>
        <x:v>113.92149888143175</x:v>
      </x:c>
      <x:c r="K16" s="3" t="n">
        <x:f>E16-H16</x:f>
        <x:v>1.821498881431765</x:v>
      </x:c>
      <x:c r="L16" s="4" t="n">
        <x:v>1</x:v>
      </x:c>
      <x:c r="M16" s="4" t="n">
        <x:v>1</x:v>
      </x:c>
      <x:c r="N16" s="3" t="n">
        <x:f>F16-E16</x:f>
        <x:v>-1.821498881431765</x:v>
      </x:c>
      <x:c r="O16" s="3" t="n">
        <x:f>ABS(N16)</x:f>
        <x:v>1.821498881431765</x:v>
      </x:c>
      <x:c r="P16" s="3" t="n">
        <x:v>407.4</x:v>
      </x:c>
      <x:c r="Q16" s="3" t="n">
        <x:v>58.27850111856824</x:v>
      </x:c>
      <x:c r="R16" s="3" t="n">
        <x:v>58.27850111856824</x:v>
      </x:c>
      <x:c r="S16" s="3" t="n">
        <x:v>172.2</x:v>
      </x:c>
      <x:c r="T16" s="3" t="n">
        <x:v>60.1</x:v>
      </x:c>
    </x:row>
    <x:row r="17" ht="20" customHeight="1">
      <x:c r="A17" s="2" t="str">
        <x:v>20250525</x:v>
      </x:c>
      <x:c r="B17" s="2" t="str">
        <x:v>W</x:v>
      </x:c>
      <x:c r="C17" s="2" t="str">
        <x:v>192</x:v>
      </x:c>
      <x:c r="D17" s="2" t="str">
        <x:v>car</x:v>
      </x:c>
      <x:c r="E17" s="3" t="n">
        <x:v>1.2863706763035552</x:v>
      </x:c>
      <x:c r="F17" s="3" t="n">
        <x:v>0</x:v>
      </x:c>
      <x:c r="G17" s="3" t="n">
        <x:v>113.28637067630353</x:v>
      </x:c>
      <x:c r="H17" s="3" t="n">
        <x:v>0</x:v>
      </x:c>
      <x:c r="I17" s="3" t="n">
        <x:f>F17-H17</x:f>
        <x:v>0</x:v>
      </x:c>
      <x:c r="J17" s="3" t="n">
        <x:f>G17-H17</x:f>
        <x:v>113.28637067630353</x:v>
      </x:c>
      <x:c r="K17" s="3" t="n">
        <x:f>E17-H17</x:f>
        <x:v>1.2863706763035552</x:v>
      </x:c>
      <x:c r="L17" s="4" t="n">
        <x:v>1</x:v>
      </x:c>
      <x:c r="M17" s="4" t="n">
        <x:v>1</x:v>
      </x:c>
      <x:c r="N17" s="3" t="n">
        <x:f>F17-E17</x:f>
        <x:v>-1.2863706763035552</x:v>
      </x:c>
      <x:c r="O17" s="3" t="n">
        <x:f>ABS(N17)</x:f>
        <x:v>1.2863706763035552</x:v>
      </x:c>
      <x:c r="P17" s="3" t="n">
        <x:v>407.4</x:v>
      </x:c>
      <x:c r="Q17" s="3" t="n">
        <x:v>60.01362932369644</x:v>
      </x:c>
      <x:c r="R17" s="3" t="n">
        <x:v>60.01362932369644</x:v>
      </x:c>
      <x:c r="S17" s="3" t="n">
        <x:v>173.29999999999998</x:v>
      </x:c>
      <x:c r="T17" s="3" t="n">
        <x:v>61.3</x:v>
      </x:c>
    </x:row>
    <x:row r="18" ht="20" customHeight="1">
      <x:c r="A18" s="2" t="str">
        <x:v>20250525</x:v>
      </x:c>
      <x:c r="B18" s="2" t="str">
        <x:v>W</x:v>
      </x:c>
      <x:c r="C18" s="2" t="str">
        <x:v>292</x:v>
      </x:c>
      <x:c r="D18" s="2" t="str">
        <x:v>car</x:v>
      </x:c>
      <x:c r="E18" s="3" t="n">
        <x:v>69.44483221476511</x:v>
      </x:c>
      <x:c r="F18" s="3" t="n">
        <x:v>73.94483221476506</x:v>
      </x:c>
      <x:c r="G18" s="3" t="n">
        <x:v>70.34483221476503</x:v>
      </x:c>
      <x:c r="H18" s="3" t="n">
        <x:v>92.66483221476508</x:v>
      </x:c>
      <x:c r="I18" s="3" t="n">
        <x:f>F18-H18</x:f>
        <x:v>-18.720000000000027</x:v>
      </x:c>
      <x:c r="J18" s="3" t="n">
        <x:f>G18-H18</x:f>
        <x:v>-22.32000000000005</x:v>
      </x:c>
      <x:c r="K18" s="3" t="n">
        <x:f>E18-H18</x:f>
        <x:v>-23.21999999999997</x:v>
      </x:c>
      <x:c r="L18" s="4" t="n">
        <x:v>1</x:v>
      </x:c>
      <x:c r="M18" s="4" t="n">
        <x:v>1</x:v>
      </x:c>
      <x:c r="N18" s="3" t="n">
        <x:f>F18-E18</x:f>
        <x:v>4.499999999999943</x:v>
      </x:c>
      <x:c r="O18" s="3" t="n">
        <x:f>ABS(N18)</x:f>
        <x:v>4.499999999999943</x:v>
      </x:c>
      <x:c r="P18" s="3" t="n">
        <x:v>407.4</x:v>
      </x:c>
      <x:c r="Q18" s="3" t="n">
        <x:v>112.8551677852349</x:v>
      </x:c>
      <x:c r="R18" s="3" t="n">
        <x:v>205.51999999999998</x:v>
      </x:c>
      <x:c r="S18" s="3" t="n">
        <x:v>183.19999999999993</x:v>
      </x:c>
      <x:c r="T18" s="3" t="n">
        <x:v>182.3</x:v>
      </x:c>
    </x:row>
    <x:row r="19" ht="20" customHeight="1">
      <x:c r="A19" s="2" t="str">
        <x:v>20250525</x:v>
      </x:c>
      <x:c r="B19" s="2" t="str">
        <x:v>W</x:v>
      </x:c>
      <x:c r="C19" s="2" t="str">
        <x:v>507</x:v>
      </x:c>
      <x:c r="D19" s="2" t="str">
        <x:v>car</x:v>
      </x:c>
      <x:c r="E19" s="3" t="n">
        <x:v>2.824832214765081</x:v>
      </x:c>
      <x:c r="F19" s="3" t="n">
        <x:v>0</x:v>
      </x:c>
      <x:c r="G19" s="3" t="n">
        <x:v>118.52483221476507</x:v>
      </x:c>
      <x:c r="H19" s="3" t="n">
        <x:v>14.044832214765052</x:v>
      </x:c>
      <x:c r="I19" s="3" t="n">
        <x:f>F19-H19</x:f>
        <x:v>-14.044832214765052</x:v>
      </x:c>
      <x:c r="J19" s="3" t="n">
        <x:f>G19-H19</x:f>
        <x:v>104.48000000000002</x:v>
      </x:c>
      <x:c r="K19" s="3" t="n">
        <x:f>E19-H19</x:f>
        <x:v>-11.21999999999997</x:v>
      </x:c>
      <x:c r="L19" s="4" t="n">
        <x:v>1</x:v>
      </x:c>
      <x:c r="M19" s="4" t="n">
        <x:v>1</x:v>
      </x:c>
      <x:c r="N19" s="3" t="n">
        <x:f>F19-E19</x:f>
        <x:v>-2.824832214765081</x:v>
      </x:c>
      <x:c r="O19" s="3" t="n">
        <x:f>ABS(N19)</x:f>
        <x:v>2.824832214765081</x:v>
      </x:c>
      <x:c r="P19" s="3" t="n">
        <x:v>407.4</x:v>
      </x:c>
      <x:c r="Q19" s="3" t="n">
        <x:v>193.67516778523492</x:v>
      </x:c>
      <x:c r="R19" s="3" t="n">
        <x:v>207.71999999999997</x:v>
      </x:c>
      <x:c r="S19" s="3" t="n">
        <x:v>312.2</x:v>
      </x:c>
      <x:c r="T19" s="3" t="n">
        <x:v>196.5</x:v>
      </x:c>
    </x:row>
    <x:row r="20" ht="20" customHeight="1">
      <x:c r="A20" s="2" t="str">
        <x:v>20250525</x:v>
      </x:c>
      <x:c r="B20" s="2" t="str">
        <x:v>W</x:v>
      </x:c>
      <x:c r="C20" s="2" t="str">
        <x:v>516</x:v>
      </x:c>
      <x:c r="D20" s="2" t="str">
        <x:v>car</x:v>
      </x:c>
      <x:c r="E20" s="3" t="n">
        <x:v>1.3951024850353804</x:v>
      </x:c>
      <x:c r="F20" s="3" t="n">
        <x:v>0</x:v>
      </x:c>
      <x:c r="G20" s="3" t="n">
        <x:v>115.89510248503538</x:v>
      </x:c>
      <x:c r="H20" s="3" t="n">
        <x:v>11.415102485035334</x:v>
      </x:c>
      <x:c r="I20" s="3" t="n">
        <x:f>F20-H20</x:f>
        <x:v>-11.415102485035334</x:v>
      </x:c>
      <x:c r="J20" s="3" t="n">
        <x:f>G20-H20</x:f>
        <x:v>104.48000000000005</x:v>
      </x:c>
      <x:c r="K20" s="3" t="n">
        <x:f>E20-H20</x:f>
        <x:v>-10.019999999999953</x:v>
      </x:c>
      <x:c r="L20" s="4" t="n">
        <x:v>1</x:v>
      </x:c>
      <x:c r="M20" s="4" t="n">
        <x:v>1</x:v>
      </x:c>
      <x:c r="N20" s="3" t="n">
        <x:f>F20-E20</x:f>
        <x:v>-1.3951024850353804</x:v>
      </x:c>
      <x:c r="O20" s="3" t="n">
        <x:f>ABS(N20)</x:f>
        <x:v>1.3951024850353804</x:v>
      </x:c>
      <x:c r="P20" s="3" t="n">
        <x:v>407.4</x:v>
      </x:c>
      <x:c r="Q20" s="3" t="n">
        <x:v>197.40489751496463</x:v>
      </x:c>
      <x:c r="R20" s="3" t="n">
        <x:v>208.81999999999996</x:v>
      </x:c>
      <x:c r="S20" s="3" t="n">
        <x:v>313.3</x:v>
      </x:c>
      <x:c r="T20" s="3" t="n">
        <x:v>198.8</x:v>
      </x:c>
    </x:row>
    <x:row r="21" ht="20" customHeight="1">
      <x:c r="A21" s="2" t="str">
        <x:v>20250525</x:v>
      </x:c>
      <x:c r="B21" s="2" t="str">
        <x:v>W</x:v>
      </x:c>
      <x:c r="C21" s="2" t="str">
        <x:v>523</x:v>
      </x:c>
      <x:c r="D21" s="2" t="str">
        <x:v>car</x:v>
      </x:c>
      <x:c r="E21" s="3" t="n">
        <x:v>0.9692766592095552</x:v>
      </x:c>
      <x:c r="F21" s="3" t="n">
        <x:v>0</x:v>
      </x:c>
      <x:c r="G21" s="3" t="n">
        <x:v>115.46927665920958</x:v>
      </x:c>
      <x:c r="H21" s="3" t="n">
        <x:v>10.989276659209509</x:v>
      </x:c>
      <x:c r="I21" s="3" t="n">
        <x:f>F21-H21</x:f>
        <x:v>-10.989276659209509</x:v>
      </x:c>
      <x:c r="J21" s="3" t="n">
        <x:f>G21-H21</x:f>
        <x:v>104.48000000000008</x:v>
      </x:c>
      <x:c r="K21" s="3" t="n">
        <x:f>E21-H21</x:f>
        <x:v>-10.019999999999953</x:v>
      </x:c>
      <x:c r="L21" s="4" t="n">
        <x:v>1</x:v>
      </x:c>
      <x:c r="M21" s="4" t="n">
        <x:v>1</x:v>
      </x:c>
      <x:c r="N21" s="3" t="n">
        <x:f>F21-E21</x:f>
        <x:v>-0.9692766592095552</x:v>
      </x:c>
      <x:c r="O21" s="3" t="n">
        <x:f>ABS(N21)</x:f>
        <x:v>0.9692766592095552</x:v>
      </x:c>
      <x:c r="P21" s="3" t="n">
        <x:v>407.4</x:v>
      </x:c>
      <x:c r="Q21" s="3" t="n">
        <x:v>198.93072334079045</x:v>
      </x:c>
      <x:c r="R21" s="3" t="n">
        <x:v>209.91999999999996</x:v>
      </x:c>
      <x:c r="S21" s="3" t="n">
        <x:v>314.40000000000003</x:v>
      </x:c>
      <x:c r="T21" s="3" t="n">
        <x:v>199.9</x:v>
      </x:c>
    </x:row>
    <x:row r="22" ht="20" customHeight="1">
      <x:c r="A22" s="2" t="str">
        <x:v>20250525</x:v>
      </x:c>
      <x:c r="B22" s="2" t="str">
        <x:v>W</x:v>
      </x:c>
      <x:c r="C22" s="2" t="str">
        <x:v>535</x:v>
      </x:c>
      <x:c r="D22" s="2" t="str">
        <x:v>car</x:v>
      </x:c>
      <x:c r="E22" s="3" t="n">
        <x:v>1.3011480042387689</x:v>
      </x:c>
      <x:c r="F22" s="3" t="n">
        <x:v>0</x:v>
      </x:c>
      <x:c r="G22" s="3" t="n">
        <x:v>113.20114800423883</x:v>
      </x:c>
      <x:c r="H22" s="3" t="n">
        <x:v>8.721148004238728</x:v>
      </x:c>
      <x:c r="I22" s="3" t="n">
        <x:f>F22-H22</x:f>
        <x:v>-8.721148004238728</x:v>
      </x:c>
      <x:c r="J22" s="3" t="n">
        <x:f>G22-H22</x:f>
        <x:v>104.4800000000001</x:v>
      </x:c>
      <x:c r="K22" s="3" t="n">
        <x:f>E22-H22</x:f>
        <x:v>-7.419999999999959</x:v>
      </x:c>
      <x:c r="L22" s="4" t="n">
        <x:v>1</x:v>
      </x:c>
      <x:c r="M22" s="4" t="n">
        <x:v>1</x:v>
      </x:c>
      <x:c r="N22" s="3" t="n">
        <x:f>F22-E22</x:f>
        <x:v>-1.3011480042387689</x:v>
      </x:c>
      <x:c r="O22" s="3" t="n">
        <x:f>ABS(N22)</x:f>
        <x:v>1.3011480042387689</x:v>
      </x:c>
      <x:c r="P22" s="3" t="n">
        <x:v>407.4</x:v>
      </x:c>
      <x:c r="Q22" s="3" t="n">
        <x:v>202.29885199576123</x:v>
      </x:c>
      <x:c r="R22" s="3" t="n">
        <x:v>211.01999999999995</x:v>
      </x:c>
      <x:c r="S22" s="3" t="n">
        <x:v>315.50000000000006</x:v>
      </x:c>
      <x:c r="T22" s="3" t="n">
        <x:v>203.6</x:v>
      </x:c>
    </x:row>
    <x:row r="23" ht="20" customHeight="1">
      <x:c r="A23" s="2" t="str">
        <x:v>20250525</x:v>
      </x:c>
      <x:c r="B23" s="2" t="str">
        <x:v>W</x:v>
      </x:c>
      <x:c r="C23" s="2" t="str">
        <x:v>543</x:v>
      </x:c>
      <x:c r="D23" s="2" t="str">
        <x:v>car</x:v>
      </x:c>
      <x:c r="E23" s="3" t="n">
        <x:v>120.00483221476509</x:v>
      </x:c>
      <x:c r="F23" s="3" t="n">
        <x:v>0</x:v>
      </x:c>
      <x:c r="G23" s="3" t="n">
        <x:v>111.76483221476514</x:v>
      </x:c>
      <x:c r="H23" s="3" t="n">
        <x:v>7.284832214765004</x:v>
      </x:c>
      <x:c r="I23" s="3" t="n">
        <x:f>F23-H23</x:f>
        <x:v>-7.284832214765004</x:v>
      </x:c>
      <x:c r="J23" s="3" t="n">
        <x:f>G23-H23</x:f>
        <x:v>104.48000000000013</x:v>
      </x:c>
      <x:c r="K23" s="3" t="n">
        <x:f>E23-H23</x:f>
        <x:v>112.72000000000008</x:v>
      </x:c>
      <x:c r="L23" s="4" t="n">
        <x:v>1</x:v>
      </x:c>
      <x:c r="M23" s="4" t="n">
        <x:v>1</x:v>
      </x:c>
      <x:c r="N23" s="3" t="n">
        <x:f>F23-E23</x:f>
        <x:v>-120.00483221476509</x:v>
      </x:c>
      <x:c r="O23" s="3" t="n">
        <x:f>ABS(N23)</x:f>
        <x:v>120.00483221476509</x:v>
      </x:c>
      <x:c r="P23" s="3" t="n">
        <x:v>407.4</x:v>
      </x:c>
      <x:c r="Q23" s="3" t="n">
        <x:v>206.59516778523493</x:v>
      </x:c>
      <x:c r="R23" s="3" t="n">
        <x:v>213.87999999999994</x:v>
      </x:c>
      <x:c r="S23" s="3" t="n">
        <x:v>318.36000000000007</x:v>
      </x:c>
      <x:c r="T23" s="3" t="n">
        <x:v>326.6</x:v>
      </x:c>
    </x:row>
    <x:row r="24" ht="20" customHeight="1">
      <x:c r="A24" s="2" t="str">
        <x:v>20250525</x:v>
      </x:c>
      <x:c r="B24" s="2" t="str">
        <x:v>W</x:v>
      </x:c>
      <x:c r="C24" s="2" t="str">
        <x:v>560</x:v>
      </x:c>
      <x:c r="D24" s="2" t="str">
        <x:v>car</x:v>
      </x:c>
      <x:c r="E24" s="3" t="n">
        <x:v>113.34983221476512</x:v>
      </x:c>
      <x:c r="F24" s="3" t="n">
        <x:v>112.0498322147651</x:v>
      </x:c>
      <x:c r="G24" s="3" t="n">
        <x:v>104.5098322147652</x:v>
      </x:c>
      <x:c r="H24" s="3" t="n">
        <x:v>0.029832214765036724</x:v>
      </x:c>
      <x:c r="I24" s="3" t="n">
        <x:f>F24-H24</x:f>
        <x:v>112.02000000000007</x:v>
      </x:c>
      <x:c r="J24" s="3" t="n">
        <x:f>G24-H24</x:f>
        <x:v>104.48000000000016</x:v>
      </x:c>
      <x:c r="K24" s="3" t="n">
        <x:f>E24-H24</x:f>
        <x:v>113.32000000000008</x:v>
      </x:c>
      <x:c r="L24" s="4" t="n">
        <x:v>1</x:v>
      </x:c>
      <x:c r="M24" s="4" t="n">
        <x:v>1</x:v>
      </x:c>
      <x:c r="N24" s="3" t="n">
        <x:f>F24-E24</x:f>
        <x:v>-1.3000000000000114</x:v>
      </x:c>
      <x:c r="O24" s="3" t="n">
        <x:f>ABS(N24)</x:f>
        <x:v>1.3000000000000114</x:v>
      </x:c>
      <x:c r="P24" s="3" t="n">
        <x:v>407.4</x:v>
      </x:c>
      <x:c r="Q24" s="3" t="n">
        <x:v>214.9501677852349</x:v>
      </x:c>
      <x:c r="R24" s="3" t="n">
        <x:v>214.97999999999993</x:v>
      </x:c>
      <x:c r="S24" s="3" t="n">
        <x:v>319.4600000000001</x:v>
      </x:c>
      <x:c r="T24" s="3" t="n">
        <x:v>328.3</x:v>
      </x:c>
    </x:row>
    <x:row r="25" ht="20" customHeight="1">
      <x:c r="A25" s="2" t="str">
        <x:v>20250525</x:v>
      </x:c>
      <x:c r="B25" s="2" t="str">
        <x:v>W</x:v>
      </x:c>
      <x:c r="C25" s="2" t="str">
        <x:v>562</x:v>
      </x:c>
      <x:c r="D25" s="2" t="str">
        <x:v>car</x:v>
      </x:c>
      <x:c r="E25" s="3" t="n">
        <x:v>112.98108221476508</x:v>
      </x:c>
      <x:c r="F25" s="3" t="n">
        <x:v>111.18108221476513</x:v>
      </x:c>
      <x:c r="G25" s="3" t="n">
        <x:v>103.64108221476522</x:v>
      </x:c>
      <x:c r="H25" s="3" t="n">
        <x:v>0</x:v>
      </x:c>
      <x:c r="I25" s="3" t="n">
        <x:f>F25-H25</x:f>
        <x:v>111.18108221476513</x:v>
      </x:c>
      <x:c r="J25" s="3" t="n">
        <x:f>G25-H25</x:f>
        <x:v>103.64108221476522</x:v>
      </x:c>
      <x:c r="K25" s="3" t="n">
        <x:f>E25-H25</x:f>
        <x:v>112.98108221476508</x:v>
      </x:c>
      <x:c r="L25" s="4" t="n">
        <x:v>1</x:v>
      </x:c>
      <x:c r="M25" s="4" t="n">
        <x:v>1</x:v>
      </x:c>
      <x:c r="N25" s="3" t="n">
        <x:f>F25-E25</x:f>
        <x:v>-1.7999999999999545</x:v>
      </x:c>
      <x:c r="O25" s="3" t="n">
        <x:f>ABS(N25)</x:f>
        <x:v>1.7999999999999545</x:v>
      </x:c>
      <x:c r="P25" s="3" t="n">
        <x:v>407.4</x:v>
      </x:c>
      <x:c r="Q25" s="3" t="n">
        <x:v>216.9189177852349</x:v>
      </x:c>
      <x:c r="R25" s="3" t="n">
        <x:v>216.9189177852349</x:v>
      </x:c>
      <x:c r="S25" s="3" t="n">
        <x:v>320.5600000000001</x:v>
      </x:c>
      <x:c r="T25" s="3" t="n">
        <x:v>329.9</x:v>
      </x:c>
    </x:row>
    <x:row r="26" ht="20" customHeight="1">
      <x:c r="A26" s="2" t="str">
        <x:v>20250525</x:v>
      </x:c>
      <x:c r="B26" s="2" t="str">
        <x:v>W</x:v>
      </x:c>
      <x:c r="C26" s="2" t="str">
        <x:v>567</x:v>
      </x:c>
      <x:c r="D26" s="2" t="str">
        <x:v>car</x:v>
      </x:c>
      <x:c r="E26" s="3" t="n">
        <x:v>111.35697507190795</x:v>
      </x:c>
      <x:c r="F26" s="3" t="n">
        <x:v>110.25697507190799</x:v>
      </x:c>
      <x:c r="G26" s="3" t="n">
        <x:v>102.71697507190808</x:v>
      </x:c>
      <x:c r="H26" s="3" t="n">
        <x:v>0</x:v>
      </x:c>
      <x:c r="I26" s="3" t="n">
        <x:f>F26-H26</x:f>
        <x:v>110.25697507190799</x:v>
      </x:c>
      <x:c r="J26" s="3" t="n">
        <x:f>G26-H26</x:f>
        <x:v>102.71697507190808</x:v>
      </x:c>
      <x:c r="K26" s="3" t="n">
        <x:f>E26-H26</x:f>
        <x:v>111.35697507190795</x:v>
      </x:c>
      <x:c r="L26" s="4" t="n">
        <x:v>1</x:v>
      </x:c>
      <x:c r="M26" s="4" t="n">
        <x:v>1</x:v>
      </x:c>
      <x:c r="N26" s="3" t="n">
        <x:f>F26-E26</x:f>
        <x:v>-1.099999999999966</x:v>
      </x:c>
      <x:c r="O26" s="3" t="n">
        <x:f>ABS(N26)</x:f>
        <x:v>1.099999999999966</x:v>
      </x:c>
      <x:c r="P26" s="3" t="n">
        <x:v>407.4</x:v>
      </x:c>
      <x:c r="Q26" s="3" t="n">
        <x:v>218.94302492809206</x:v>
      </x:c>
      <x:c r="R26" s="3" t="n">
        <x:v>218.94302492809206</x:v>
      </x:c>
      <x:c r="S26" s="3" t="n">
        <x:v>321.66000000000014</x:v>
      </x:c>
      <x:c r="T26" s="3" t="n">
        <x:v>330.3</x:v>
      </x:c>
    </x:row>
    <x:row r="27" ht="20" customHeight="1">
      <x:c r="A27" s="2" t="str">
        <x:v>20250525</x:v>
      </x:c>
      <x:c r="B27" s="2" t="str">
        <x:v>W</x:v>
      </x:c>
      <x:c r="C27" s="2" t="str">
        <x:v>576</x:v>
      </x:c>
      <x:c r="D27" s="2" t="str">
        <x:v>car</x:v>
      </x:c>
      <x:c r="E27" s="3" t="n">
        <x:v>112.04534503527788</x:v>
      </x:c>
      <x:c r="F27" s="3" t="n">
        <x:v>108.94534503527797</x:v>
      </x:c>
      <x:c r="G27" s="3" t="n">
        <x:v>101.40534503527806</x:v>
      </x:c>
      <x:c r="H27" s="3" t="n">
        <x:v>0</x:v>
      </x:c>
      <x:c r="I27" s="3" t="n">
        <x:f>F27-H27</x:f>
        <x:v>108.94534503527797</x:v>
      </x:c>
      <x:c r="J27" s="3" t="n">
        <x:f>G27-H27</x:f>
        <x:v>101.40534503527806</x:v>
      </x:c>
      <x:c r="K27" s="3" t="n">
        <x:f>E27-H27</x:f>
        <x:v>112.04534503527788</x:v>
      </x:c>
      <x:c r="L27" s="4" t="n">
        <x:v>1</x:v>
      </x:c>
      <x:c r="M27" s="4" t="n">
        <x:v>1</x:v>
      </x:c>
      <x:c r="N27" s="3" t="n">
        <x:f>F27-E27</x:f>
        <x:v>-3.099999999999909</x:v>
      </x:c>
      <x:c r="O27" s="3" t="n">
        <x:f>ABS(N27)</x:f>
        <x:v>3.099999999999909</x:v>
      </x:c>
      <x:c r="P27" s="3" t="n">
        <x:v>407.4</x:v>
      </x:c>
      <x:c r="Q27" s="3" t="n">
        <x:v>221.3546549647221</x:v>
      </x:c>
      <x:c r="R27" s="3" t="n">
        <x:v>221.3546549647221</x:v>
      </x:c>
      <x:c r="S27" s="3" t="n">
        <x:v>322.76000000000016</x:v>
      </x:c>
      <x:c r="T27" s="3" t="n">
        <x:v>333.4</x:v>
      </x:c>
    </x:row>
    <x:row r="28" ht="20" customHeight="1">
      <x:c r="A28" s="2" t="str">
        <x:v>20250525</x:v>
      </x:c>
      <x:c r="B28" s="2" t="str">
        <x:v>W</x:v>
      </x:c>
      <x:c r="C28" s="2" t="str">
        <x:v>821</x:v>
      </x:c>
      <x:c r="D28" s="2" t="str">
        <x:v>car</x:v>
      </x:c>
      <x:c r="E28" s="3" t="n">
        <x:v>2.518582214765104</x:v>
      </x:c>
      <x:c r="F28" s="3" t="n">
        <x:v>0</x:v>
      </x:c>
      <x:c r="G28" s="3" t="n">
        <x:v>58.21858221476509</x:v>
      </x:c>
      <x:c r="H28" s="3" t="n">
        <x:v>58.21858221476509</x:v>
      </x:c>
      <x:c r="I28" s="3" t="n">
        <x:f>F28-H28</x:f>
        <x:v>-58.21858221476509</x:v>
      </x:c>
      <x:c r="J28" s="3" t="n">
        <x:f>G28-H28</x:f>
        <x:v>0</x:v>
      </x:c>
      <x:c r="K28" s="3" t="n">
        <x:f>E28-H28</x:f>
        <x:v>-55.69999999999999</x:v>
      </x:c>
      <x:c r="L28" s="4" t="n">
        <x:v>0</x:v>
      </x:c>
      <x:c r="M28" s="4" t="n">
        <x:v>0</x:v>
      </x:c>
      <x:c r="N28" s="3" t="n">
        <x:f>F28-E28</x:f>
        <x:v>-2.518582214765104</x:v>
      </x:c>
      <x:c r="O28" s="3" t="n">
        <x:f>ABS(N28)</x:f>
        <x:v>2.518582214765104</x:v>
      </x:c>
      <x:c r="P28" s="3" t="n">
        <x:v>407.4</x:v>
      </x:c>
      <x:c r="Q28" s="3" t="n">
        <x:v>349.1814177852349</x:v>
      </x:c>
      <x:c r="R28" s="3"/>
      <x:c r="S28" s="3"/>
      <x:c r="T28" s="3" t="n">
        <x:v>351.7</x:v>
      </x:c>
    </x:row>
    <x:row r="29" ht="20" customHeight="1">
      <x:c r="A29" s="2" t="str">
        <x:v>20250526</x:v>
      </x:c>
      <x:c r="B29" s="2" t="str">
        <x:v>E</x:v>
      </x:c>
      <x:c r="C29" s="2" t="str">
        <x:v>65</x:v>
      </x:c>
      <x:c r="D29" s="2" t="str">
        <x:v>car</x:v>
      </x:c>
      <x:c r="E29" s="3" t="n">
        <x:v>26.751883533674935</x:v>
      </x:c>
      <x:c r="F29" s="3" t="n">
        <x:v>28.211883533674943</x:v>
      </x:c>
      <x:c r="G29" s="3" t="n">
        <x:v>28.211883533674943</x:v>
      </x:c>
      <x:c r="H29" s="3" t="n">
        <x:v>28.211883533674943</x:v>
      </x:c>
      <x:c r="I29" s="3" t="n">
        <x:f>F29-H29</x:f>
        <x:v>0</x:v>
      </x:c>
      <x:c r="J29" s="3" t="n">
        <x:f>G29-H29</x:f>
        <x:v>0</x:v>
      </x:c>
      <x:c r="K29" s="3" t="n">
        <x:f>E29-H29</x:f>
        <x:v>-1.460000000000008</x:v>
      </x:c>
      <x:c r="L29" s="4" t="n">
        <x:v>1</x:v>
      </x:c>
      <x:c r="M29" s="4" t="n">
        <x:v>1</x:v>
      </x:c>
      <x:c r="N29" s="3" t="n">
        <x:f>F29-E29</x:f>
        <x:v>1.460000000000008</x:v>
      </x:c>
      <x:c r="O29" s="3" t="n">
        <x:f>ABS(N29)</x:f>
        <x:v>1.460000000000008</x:v>
      </x:c>
      <x:c r="P29" s="3" t="n">
        <x:v>1729.3</x:v>
      </x:c>
      <x:c r="Q29" s="3" t="n">
        <x:v>8.248116466325067</x:v>
      </x:c>
      <x:c r="R29" s="3" t="n">
        <x:v>36.46000000000001</x:v>
      </x:c>
      <x:c r="S29" s="3" t="n">
        <x:v>36.46000000000001</x:v>
      </x:c>
      <x:c r="T29" s="3" t="n">
        <x:v>35</x:v>
      </x:c>
    </x:row>
    <x:row r="30" ht="20" customHeight="1">
      <x:c r="A30" s="2" t="str">
        <x:v>20250526</x:v>
      </x:c>
      <x:c r="B30" s="2" t="str">
        <x:v>E</x:v>
      </x:c>
      <x:c r="C30" s="2" t="str">
        <x:v>136</x:v>
      </x:c>
      <x:c r="D30" s="2" t="str">
        <x:v>truck</x:v>
      </x:c>
      <x:c r="E30" s="3" t="n">
        <x:v>0.5446201065649561</x:v>
      </x:c>
      <x:c r="F30" s="3" t="n">
        <x:v>3.764620106564962</x:v>
      </x:c>
      <x:c r="G30" s="3" t="n">
        <x:v>3.764620106564962</x:v>
      </x:c>
      <x:c r="H30" s="3" t="n">
        <x:v>3.764620106564962</x:v>
      </x:c>
      <x:c r="I30" s="3" t="n">
        <x:f>F30-H30</x:f>
        <x:v>0</x:v>
      </x:c>
      <x:c r="J30" s="3" t="n">
        <x:f>G30-H30</x:f>
        <x:v>0</x:v>
      </x:c>
      <x:c r="K30" s="3" t="n">
        <x:f>E30-H30</x:f>
        <x:v>-3.220000000000006</x:v>
      </x:c>
      <x:c r="L30" s="4" t="n">
        <x:v>1</x:v>
      </x:c>
      <x:c r="M30" s="4" t="n">
        <x:v>1</x:v>
      </x:c>
      <x:c r="N30" s="3" t="n">
        <x:f>F30-E30</x:f>
        <x:v>3.220000000000006</x:v>
      </x:c>
      <x:c r="O30" s="3" t="n">
        <x:f>ABS(N30)</x:f>
        <x:v>3.220000000000006</x:v>
      </x:c>
      <x:c r="P30" s="3" t="n">
        <x:v>1729.3</x:v>
      </x:c>
      <x:c r="Q30" s="3" t="n">
        <x:v>34.455379893435044</x:v>
      </x:c>
      <x:c r="R30" s="3" t="n">
        <x:v>38.220000000000006</x:v>
      </x:c>
      <x:c r="S30" s="3" t="n">
        <x:v>38.220000000000006</x:v>
      </x:c>
      <x:c r="T30" s="3" t="n">
        <x:v>35</x:v>
      </x:c>
    </x:row>
    <x:row r="31" ht="20" customHeight="1">
      <x:c r="A31" s="2" t="str">
        <x:v>20250526</x:v>
      </x:c>
      <x:c r="B31" s="2" t="str">
        <x:v>E</x:v>
      </x:c>
      <x:c r="C31" s="2" t="str">
        <x:v>193</x:v>
      </x:c>
      <x:c r="D31" s="2" t="str">
        <x:v>car</x:v>
      </x:c>
      <x:c r="E31" s="3" t="n">
        <x:v>113.10883229143892</x:v>
      </x:c>
      <x:c r="F31" s="3" t="n">
        <x:v>111.70883229143891</x:v>
      </x:c>
      <x:c r="G31" s="3" t="n">
        <x:v>106.92883229143891</x:v>
      </x:c>
      <x:c r="H31" s="3" t="n">
        <x:v>0</x:v>
      </x:c>
      <x:c r="I31" s="3" t="n">
        <x:f>F31-H31</x:f>
        <x:v>111.70883229143891</x:v>
      </x:c>
      <x:c r="J31" s="3" t="n">
        <x:f>G31-H31</x:f>
        <x:v>106.92883229143891</x:v>
      </x:c>
      <x:c r="K31" s="3" t="n">
        <x:f>E31-H31</x:f>
        <x:v>113.10883229143892</x:v>
      </x:c>
      <x:c r="L31" s="4" t="n">
        <x:v>1</x:v>
      </x:c>
      <x:c r="M31" s="4" t="n">
        <x:v>1</x:v>
      </x:c>
      <x:c r="N31" s="3" t="n">
        <x:f>F31-E31</x:f>
        <x:v>-1.4000000000000057</x:v>
      </x:c>
      <x:c r="O31" s="3" t="n">
        <x:f>ABS(N31)</x:f>
        <x:v>1.4000000000000057</x:v>
      </x:c>
      <x:c r="P31" s="3" t="n">
        <x:v>1729.3</x:v>
      </x:c>
      <x:c r="Q31" s="3" t="n">
        <x:v>55.2911677085611</x:v>
      </x:c>
      <x:c r="R31" s="3" t="n">
        <x:v>55.2911677085611</x:v>
      </x:c>
      <x:c r="S31" s="3" t="n">
        <x:v>162.22</x:v>
      </x:c>
      <x:c r="T31" s="3" t="n">
        <x:v>168.4</x:v>
      </x:c>
    </x:row>
    <x:row r="32" ht="20" customHeight="1">
      <x:c r="A32" s="2" t="str">
        <x:v>20250526</x:v>
      </x:c>
      <x:c r="B32" s="2" t="str">
        <x:v>E</x:v>
      </x:c>
      <x:c r="C32" s="2" t="str">
        <x:v>315</x:v>
      </x:c>
      <x:c r="D32" s="2" t="str">
        <x:v>car</x:v>
      </x:c>
      <x:c r="E32" s="3" t="n">
        <x:v>55.37440768826431</x:v>
      </x:c>
      <x:c r="F32" s="3" t="n">
        <x:v>55.97440768826431</x:v>
      </x:c>
      <x:c r="G32" s="3" t="n">
        <x:v>51.194407688264306</x:v>
      </x:c>
      <x:c r="H32" s="3" t="n">
        <x:v>0</x:v>
      </x:c>
      <x:c r="I32" s="3" t="n">
        <x:f>F32-H32</x:f>
        <x:v>55.97440768826431</x:v>
      </x:c>
      <x:c r="J32" s="3" t="n">
        <x:f>G32-H32</x:f>
        <x:v>51.194407688264306</x:v>
      </x:c>
      <x:c r="K32" s="3" t="n">
        <x:f>E32-H32</x:f>
        <x:v>55.37440768826431</x:v>
      </x:c>
      <x:c r="L32" s="4" t="n">
        <x:v>1</x:v>
      </x:c>
      <x:c r="M32" s="4" t="n">
        <x:v>1</x:v>
      </x:c>
      <x:c r="N32" s="3" t="n">
        <x:f>F32-E32</x:f>
        <x:v>0.5999999999999943</x:v>
      </x:c>
      <x:c r="O32" s="3" t="n">
        <x:f>ABS(N32)</x:f>
        <x:v>0.5999999999999943</x:v>
      </x:c>
      <x:c r="P32" s="3" t="n">
        <x:v>1729.3</x:v>
      </x:c>
      <x:c r="Q32" s="3" t="n">
        <x:v>112.12559231173569</x:v>
      </x:c>
      <x:c r="R32" s="3" t="n">
        <x:v>112.12559231173569</x:v>
      </x:c>
      <x:c r="S32" s="3" t="n">
        <x:v>163.32</x:v>
      </x:c>
      <x:c r="T32" s="3" t="n">
        <x:v>167.5</x:v>
      </x:c>
    </x:row>
    <x:row r="33" ht="20" customHeight="1">
      <x:c r="A33" s="2" t="str">
        <x:v>20250526</x:v>
      </x:c>
      <x:c r="B33" s="2" t="str">
        <x:v>E</x:v>
      </x:c>
      <x:c r="C33" s="2" t="str">
        <x:v>345</x:v>
      </x:c>
      <x:c r="D33" s="2" t="str">
        <x:v>car</x:v>
      </x:c>
      <x:c r="E33" s="3" t="n">
        <x:v>45.586373500230124</x:v>
      </x:c>
      <x:c r="F33" s="3" t="n">
        <x:v>44.38637350023011</x:v>
      </x:c>
      <x:c r="G33" s="3" t="n">
        <x:v>39.606373500230106</x:v>
      </x:c>
      <x:c r="H33" s="3" t="n">
        <x:v>104.98637350023013</x:v>
      </x:c>
      <x:c r="I33" s="3" t="n">
        <x:f>F33-H33</x:f>
        <x:v>-60.60000000000002</x:v>
      </x:c>
      <x:c r="J33" s="3" t="n">
        <x:f>G33-H33</x:f>
        <x:v>-65.38000000000002</x:v>
      </x:c>
      <x:c r="K33" s="3" t="n">
        <x:f>E33-H33</x:f>
        <x:v>-59.400000000000006</x:v>
      </x:c>
      <x:c r="L33" s="4" t="n">
        <x:v>1</x:v>
      </x:c>
      <x:c r="M33" s="4" t="n">
        <x:v>1</x:v>
      </x:c>
      <x:c r="N33" s="3" t="n">
        <x:f>F33-E33</x:f>
        <x:v>-1.200000000000017</x:v>
      </x:c>
      <x:c r="O33" s="3" t="n">
        <x:f>ABS(N33)</x:f>
        <x:v>1.200000000000017</x:v>
      </x:c>
      <x:c r="P33" s="3" t="n">
        <x:v>1729.3</x:v>
      </x:c>
      <x:c r="Q33" s="3" t="n">
        <x:v>124.81362649976988</x:v>
      </x:c>
      <x:c r="R33" s="3" t="n">
        <x:v>229.8</x:v>
      </x:c>
      <x:c r="S33" s="3" t="n">
        <x:v>164.42</x:v>
      </x:c>
      <x:c r="T33" s="3" t="n">
        <x:v>170.4</x:v>
      </x:c>
    </x:row>
    <x:row r="34" ht="20" customHeight="1">
      <x:c r="A34" s="2" t="str">
        <x:v>20250526</x:v>
      </x:c>
      <x:c r="B34" s="2" t="str">
        <x:v>E</x:v>
      </x:c>
      <x:c r="C34" s="2" t="str">
        <x:v>362</x:v>
      </x:c>
      <x:c r="D34" s="2" t="str">
        <x:v>car</x:v>
      </x:c>
      <x:c r="E34" s="3" t="n">
        <x:v>39.46636261488908</x:v>
      </x:c>
      <x:c r="F34" s="3" t="n">
        <x:v>36.96636261488905</x:v>
      </x:c>
      <x:c r="G34" s="3" t="n">
        <x:v>32.18636261488905</x:v>
      </x:c>
      <x:c r="H34" s="3" t="n">
        <x:v>97.56636261488907</x:v>
      </x:c>
      <x:c r="I34" s="3" t="n">
        <x:f>F34-H34</x:f>
        <x:v>-60.60000000000002</x:v>
      </x:c>
      <x:c r="J34" s="3" t="n">
        <x:f>G34-H34</x:f>
        <x:v>-65.38000000000002</x:v>
      </x:c>
      <x:c r="K34" s="3" t="n">
        <x:f>E34-H34</x:f>
        <x:v>-58.099999999999994</x:v>
      </x:c>
      <x:c r="L34" s="4" t="n">
        <x:v>1</x:v>
      </x:c>
      <x:c r="M34" s="4" t="n">
        <x:v>1</x:v>
      </x:c>
      <x:c r="N34" s="3" t="n">
        <x:f>F34-E34</x:f>
        <x:v>-2.5000000000000284</x:v>
      </x:c>
      <x:c r="O34" s="3" t="n">
        <x:f>ABS(N34)</x:f>
        <x:v>2.5000000000000284</x:v>
      </x:c>
      <x:c r="P34" s="3" t="n">
        <x:v>1729.3</x:v>
      </x:c>
      <x:c r="Q34" s="3" t="n">
        <x:v>133.33363738511093</x:v>
      </x:c>
      <x:c r="R34" s="3" t="n">
        <x:v>230.9</x:v>
      </x:c>
      <x:c r="S34" s="3" t="n">
        <x:v>165.51999999999998</x:v>
      </x:c>
      <x:c r="T34" s="3" t="n">
        <x:v>172.8</x:v>
      </x:c>
    </x:row>
    <x:row r="35" ht="20" customHeight="1">
      <x:c r="A35" s="2" t="str">
        <x:v>20250526</x:v>
      </x:c>
      <x:c r="B35" s="2" t="str">
        <x:v>E</x:v>
      </x:c>
      <x:c r="C35" s="2" t="str">
        <x:v>404</x:v>
      </x:c>
      <x:c r="D35" s="2" t="str">
        <x:v>car</x:v>
      </x:c>
      <x:c r="E35" s="3" t="n">
        <x:v>18.33167893009437</x:v>
      </x:c>
      <x:c r="F35" s="3" t="n">
        <x:v>18.33167893009434</x:v>
      </x:c>
      <x:c r="G35" s="3" t="n">
        <x:v>13.55167893009434</x:v>
      </x:c>
      <x:c r="H35" s="3" t="n">
        <x:v>78.93167893009436</x:v>
      </x:c>
      <x:c r="I35" s="3" t="n">
        <x:f>F35-H35</x:f>
        <x:v>-60.60000000000002</x:v>
      </x:c>
      <x:c r="J35" s="3" t="n">
        <x:f>G35-H35</x:f>
        <x:v>-65.38000000000002</x:v>
      </x:c>
      <x:c r="K35" s="3" t="n">
        <x:f>E35-H35</x:f>
        <x:v>-60.599999999999994</x:v>
      </x:c>
      <x:c r="L35" s="4" t="n">
        <x:v>1</x:v>
      </x:c>
      <x:c r="M35" s="4" t="n">
        <x:v>1</x:v>
      </x:c>
      <x:c r="N35" s="3" t="n">
        <x:f>F35-E35</x:f>
        <x:v>-2.842170943040401e-14</x:v>
      </x:c>
      <x:c r="O35" s="3" t="n">
        <x:f>ABS(N35)</x:f>
        <x:v>2.842170943040401e-14</x:v>
      </x:c>
      <x:c r="P35" s="3" t="n">
        <x:v>1729.3</x:v>
      </x:c>
      <x:c r="Q35" s="3" t="n">
        <x:v>153.06832106990564</x:v>
      </x:c>
      <x:c r="R35" s="3" t="n">
        <x:v>232</x:v>
      </x:c>
      <x:c r="S35" s="3" t="n">
        <x:v>166.61999999999998</x:v>
      </x:c>
      <x:c r="T35" s="3" t="n">
        <x:v>171.4</x:v>
      </x:c>
    </x:row>
    <x:row r="36" ht="20" customHeight="1">
      <x:c r="A36" s="2" t="str">
        <x:v>20250526</x:v>
      </x:c>
      <x:c r="B36" s="2" t="str">
        <x:v>E</x:v>
      </x:c>
      <x:c r="C36" s="2" t="str">
        <x:v>555</x:v>
      </x:c>
      <x:c r="D36" s="2" t="str">
        <x:v>car</x:v>
      </x:c>
      <x:c r="E36" s="3" t="n">
        <x:v>103.48605298740958</x:v>
      </x:c>
      <x:c r="F36" s="3" t="n">
        <x:v>101.5860529874096</x:v>
      </x:c>
      <x:c r="G36" s="3" t="n">
        <x:v>83.0260529874096</x:v>
      </x:c>
      <x:c r="H36" s="3" t="n">
        <x:v>25.686052987409596</x:v>
      </x:c>
      <x:c r="I36" s="3" t="n">
        <x:f>F36-H36</x:f>
        <x:v>75.9</x:v>
      </x:c>
      <x:c r="J36" s="3" t="n">
        <x:f>G36-H36</x:f>
        <x:v>57.34</x:v>
      </x:c>
      <x:c r="K36" s="3" t="n">
        <x:f>E36-H36</x:f>
        <x:v>77.79999999999998</x:v>
      </x:c>
      <x:c r="L36" s="4" t="n">
        <x:v>1</x:v>
      </x:c>
      <x:c r="M36" s="4" t="n">
        <x:v>1</x:v>
      </x:c>
      <x:c r="N36" s="3" t="n">
        <x:f>F36-E36</x:f>
        <x:v>-1.8999999999999773</x:v>
      </x:c>
      <x:c r="O36" s="3" t="n">
        <x:f>ABS(N36)</x:f>
        <x:v>1.8999999999999773</x:v>
      </x:c>
      <x:c r="P36" s="3" t="n">
        <x:v>1729.3</x:v>
      </x:c>
      <x:c r="Q36" s="3" t="n">
        <x:v>207.4139470125904</x:v>
      </x:c>
      <x:c r="R36" s="3" t="n">
        <x:v>233.1</x:v>
      </x:c>
      <x:c r="S36" s="3" t="n">
        <x:v>290.44</x:v>
      </x:c>
      <x:c r="T36" s="3" t="n">
        <x:v>310.9</x:v>
      </x:c>
    </x:row>
    <x:row r="37" ht="20" customHeight="1">
      <x:c r="A37" s="2" t="str">
        <x:v>20250526</x:v>
      </x:c>
      <x:c r="B37" s="2" t="str">
        <x:v>E</x:v>
      </x:c>
      <x:c r="C37" s="2" t="str">
        <x:v>757</x:v>
      </x:c>
      <x:c r="D37" s="2" t="str">
        <x:v>car</x:v>
      </x:c>
      <x:c r="E37" s="3" t="n">
        <x:v>0.5878218936089183</x:v>
      </x:c>
      <x:c r="F37" s="3" t="n">
        <x:v>0</x:v>
      </x:c>
      <x:c r="G37" s="3" t="n">
        <x:v>103.06782189360894</x:v>
      </x:c>
      <x:c r="H37" s="3" t="n">
        <x:v>54.15782189360897</x:v>
      </x:c>
      <x:c r="I37" s="3" t="n">
        <x:f>F37-H37</x:f>
        <x:v>-54.15782189360897</x:v>
      </x:c>
      <x:c r="J37" s="3" t="n">
        <x:f>G37-H37</x:f>
        <x:v>48.90999999999997</x:v>
      </x:c>
      <x:c r="K37" s="3" t="n">
        <x:f>E37-H37</x:f>
        <x:v>-53.57000000000005</x:v>
      </x:c>
      <x:c r="L37" s="4" t="n">
        <x:v>1</x:v>
      </x:c>
      <x:c r="M37" s="4" t="n">
        <x:v>1</x:v>
      </x:c>
      <x:c r="N37" s="3" t="n">
        <x:f>F37-E37</x:f>
        <x:v>-0.5878218936089183</x:v>
      </x:c>
      <x:c r="O37" s="3" t="n">
        <x:f>ABS(N37)</x:f>
        <x:v>0.5878218936089183</x:v>
      </x:c>
      <x:c r="P37" s="3" t="n">
        <x:v>1729.3</x:v>
      </x:c>
      <x:c r="Q37" s="3" t="n">
        <x:v>310.4121781063911</x:v>
      </x:c>
      <x:c r="R37" s="3" t="n">
        <x:v>364.57000000000005</x:v>
      </x:c>
      <x:c r="S37" s="3" t="n">
        <x:v>413.48</x:v>
      </x:c>
      <x:c r="T37" s="3" t="n">
        <x:v>311</x:v>
      </x:c>
    </x:row>
    <x:row r="38" ht="20" customHeight="1">
      <x:c r="A38" s="2" t="str">
        <x:v>20250526</x:v>
      </x:c>
      <x:c r="B38" s="2" t="str">
        <x:v>E</x:v>
      </x:c>
      <x:c r="C38" s="2" t="str">
        <x:v>893</x:v>
      </x:c>
      <x:c r="D38" s="2" t="str">
        <x:v>car</x:v>
      </x:c>
      <x:c r="E38" s="3" t="n">
        <x:v>70.90436800572462</x:v>
      </x:c>
      <x:c r="F38" s="3" t="n">
        <x:v>71.90436800572462</x:v>
      </x:c>
      <x:c r="G38" s="3" t="n">
        <x:v>39.584368005724684</x:v>
      </x:c>
      <x:c r="H38" s="3" t="n">
        <x:v>0</x:v>
      </x:c>
      <x:c r="I38" s="3" t="n">
        <x:f>F38-H38</x:f>
        <x:v>71.90436800572462</x:v>
      </x:c>
      <x:c r="J38" s="3" t="n">
        <x:f>G38-H38</x:f>
        <x:v>39.584368005724684</x:v>
      </x:c>
      <x:c r="K38" s="3" t="n">
        <x:f>E38-H38</x:f>
        <x:v>70.90436800572462</x:v>
      </x:c>
      <x:c r="L38" s="4" t="n">
        <x:v>1</x:v>
      </x:c>
      <x:c r="M38" s="4" t="n">
        <x:v>1</x:v>
      </x:c>
      <x:c r="N38" s="3" t="n">
        <x:f>F38-E38</x:f>
        <x:v>1</x:v>
      </x:c>
      <x:c r="O38" s="3" t="n">
        <x:f>ABS(N38)</x:f>
        <x:v>1</x:v>
      </x:c>
      <x:c r="P38" s="3" t="n">
        <x:v>1729.3</x:v>
      </x:c>
      <x:c r="Q38" s="3" t="n">
        <x:v>376.0956319942754</x:v>
      </x:c>
      <x:c r="R38" s="3" t="n">
        <x:v>376.0956319942754</x:v>
      </x:c>
      <x:c r="S38" s="3" t="n">
        <x:v>415.68000000000006</x:v>
      </x:c>
      <x:c r="T38" s="3" t="n">
        <x:v>447</x:v>
      </x:c>
    </x:row>
    <x:row r="39" ht="20" customHeight="1">
      <x:c r="A39" s="2" t="str">
        <x:v>20250526</x:v>
      </x:c>
      <x:c r="B39" s="2" t="str">
        <x:v>E</x:v>
      </x:c>
      <x:c r="C39" s="2" t="str">
        <x:v>1106</x:v>
      </x:c>
      <x:c r="D39" s="2" t="str">
        <x:v>car</x:v>
      </x:c>
      <x:c r="E39" s="3" t="n">
        <x:v>115.67157970968333</x:v>
      </x:c>
      <x:c r="F39" s="3" t="n">
        <x:v>109.17157970968333</x:v>
      </x:c>
      <x:c r="G39" s="3" t="n">
        <x:v>68.58157970968341</x:v>
      </x:c>
      <x:c r="H39" s="3" t="n">
        <x:v>96.85157970968339</x:v>
      </x:c>
      <x:c r="I39" s="3" t="n">
        <x:f>F39-H39</x:f>
        <x:v>12.319999999999936</x:v>
      </x:c>
      <x:c r="J39" s="3" t="n">
        <x:f>G39-H39</x:f>
        <x:v>-28.269999999999982</x:v>
      </x:c>
      <x:c r="K39" s="3" t="n">
        <x:f>E39-H39</x:f>
        <x:v>18.819999999999936</x:v>
      </x:c>
      <x:c r="L39" s="4" t="n">
        <x:v>1</x:v>
      </x:c>
      <x:c r="M39" s="4" t="n">
        <x:v>1</x:v>
      </x:c>
      <x:c r="N39" s="3" t="n">
        <x:f>F39-E39</x:f>
        <x:v>-6.5</x:v>
      </x:c>
      <x:c r="O39" s="3" t="n">
        <x:f>ABS(N39)</x:f>
        <x:v>6.5</x:v>
      </x:c>
      <x:c r="P39" s="3" t="n">
        <x:v>1729.3</x:v>
      </x:c>
      <x:c r="Q39" s="3" t="n">
        <x:v>479.82842029031667</x:v>
      </x:c>
      <x:c r="R39" s="3" t="n">
        <x:v>576.6800000000001</x:v>
      </x:c>
      <x:c r="S39" s="3" t="n">
        <x:v>548.4100000000001</x:v>
      </x:c>
      <x:c r="T39" s="3" t="n">
        <x:v>595.5</x:v>
      </x:c>
    </x:row>
    <x:row r="40" ht="20" customHeight="1">
      <x:c r="A40" s="2" t="str">
        <x:v>20250526</x:v>
      </x:c>
      <x:c r="B40" s="2" t="str">
        <x:v>E</x:v>
      </x:c>
      <x:c r="C40" s="2" t="str">
        <x:v>1157</x:v>
      </x:c>
      <x:c r="D40" s="2" t="str">
        <x:v>car</x:v>
      </x:c>
      <x:c r="E40" s="3" t="n">
        <x:v>75.98164073299722</x:v>
      </x:c>
      <x:c r="F40" s="3" t="n">
        <x:v>74.28164073299729</x:v>
      </x:c>
      <x:c r="G40" s="3" t="n">
        <x:v>33.69164073299737</x:v>
      </x:c>
      <x:c r="H40" s="3" t="n">
        <x:v>61.96164073299735</x:v>
      </x:c>
      <x:c r="I40" s="3" t="n">
        <x:f>F40-H40</x:f>
        <x:v>12.319999999999936</x:v>
      </x:c>
      <x:c r="J40" s="3" t="n">
        <x:f>G40-H40</x:f>
        <x:v>-28.269999999999982</x:v>
      </x:c>
      <x:c r="K40" s="3" t="n">
        <x:f>E40-H40</x:f>
        <x:v>14.019999999999868</x:v>
      </x:c>
      <x:c r="L40" s="4" t="n">
        <x:v>1</x:v>
      </x:c>
      <x:c r="M40" s="4" t="n">
        <x:v>1</x:v>
      </x:c>
      <x:c r="N40" s="3" t="n">
        <x:f>F40-E40</x:f>
        <x:v>-1.6999999999999318</x:v>
      </x:c>
      <x:c r="O40" s="3" t="n">
        <x:f>ABS(N40)</x:f>
        <x:v>1.6999999999999318</x:v>
      </x:c>
      <x:c r="P40" s="3" t="n">
        <x:v>1729.3</x:v>
      </x:c>
      <x:c r="Q40" s="3" t="n">
        <x:v>515.8183592670027</x:v>
      </x:c>
      <x:c r="R40" s="3" t="n">
        <x:v>577.7800000000001</x:v>
      </x:c>
      <x:c r="S40" s="3" t="n">
        <x:v>549.5100000000001</x:v>
      </x:c>
      <x:c r="T40" s="3" t="n">
        <x:v>591.8</x:v>
      </x:c>
    </x:row>
    <x:row r="41" ht="20" customHeight="1">
      <x:c r="A41" s="2" t="str">
        <x:v>20250526</x:v>
      </x:c>
      <x:c r="B41" s="2" t="str">
        <x:v>E</x:v>
      </x:c>
      <x:c r="C41" s="2" t="str">
        <x:v>1174</x:v>
      </x:c>
      <x:c r="D41" s="2" t="str">
        <x:v>car</x:v>
      </x:c>
      <x:c r="E41" s="3" t="n">
        <x:v>63.348785082900235</x:v>
      </x:c>
      <x:c r="F41" s="3" t="n">
        <x:v>64.04878508290028</x:v>
      </x:c>
      <x:c r="G41" s="3" t="n">
        <x:v>23.458785082900363</x:v>
      </x:c>
      <x:c r="H41" s="3" t="n">
        <x:v>51.728785082900345</x:v>
      </x:c>
      <x:c r="I41" s="3" t="n">
        <x:f>F41-H41</x:f>
        <x:v>12.319999999999936</x:v>
      </x:c>
      <x:c r="J41" s="3" t="n">
        <x:f>G41-H41</x:f>
        <x:v>-28.269999999999982</x:v>
      </x:c>
      <x:c r="K41" s="3" t="n">
        <x:f>E41-H41</x:f>
        <x:v>11.61999999999989</x:v>
      </x:c>
      <x:c r="L41" s="4" t="n">
        <x:v>1</x:v>
      </x:c>
      <x:c r="M41" s="4" t="n">
        <x:v>1</x:v>
      </x:c>
      <x:c r="N41" s="3" t="n">
        <x:f>F41-E41</x:f>
        <x:v>0.7000000000000455</x:v>
      </x:c>
      <x:c r="O41" s="3" t="n">
        <x:f>ABS(N41)</x:f>
        <x:v>0.7000000000000455</x:v>
      </x:c>
      <x:c r="P41" s="3" t="n">
        <x:v>1729.3</x:v>
      </x:c>
      <x:c r="Q41" s="3" t="n">
        <x:v>527.1512149170998</x:v>
      </x:c>
      <x:c r="R41" s="3" t="n">
        <x:v>578.8800000000001</x:v>
      </x:c>
      <x:c r="S41" s="3" t="n">
        <x:v>550.6100000000001</x:v>
      </x:c>
      <x:c r="T41" s="3" t="n">
        <x:v>590.5</x:v>
      </x:c>
    </x:row>
    <x:row r="42" ht="20" customHeight="1">
      <x:c r="A42" s="2" t="str">
        <x:v>20250526</x:v>
      </x:c>
      <x:c r="B42" s="2" t="str">
        <x:v>E</x:v>
      </x:c>
      <x:c r="C42" s="2" t="str">
        <x:v>1233</x:v>
      </x:c>
      <x:c r="D42" s="2" t="str">
        <x:v>car</x:v>
      </x:c>
      <x:c r="E42" s="3" t="n">
        <x:v>36.919689706924146</x:v>
      </x:c>
      <x:c r="F42" s="3" t="n">
        <x:v>34.51968970692417</x:v>
      </x:c>
      <x:c r="G42" s="3" t="n">
        <x:v>0</x:v>
      </x:c>
      <x:c r="H42" s="3" t="n">
        <x:v>22.199689706924232</x:v>
      </x:c>
      <x:c r="I42" s="3" t="n">
        <x:f>F42-H42</x:f>
        <x:v>12.319999999999936</x:v>
      </x:c>
      <x:c r="J42" s="3" t="n">
        <x:f>G42-H42</x:f>
        <x:v>-22.199689706924232</x:v>
      </x:c>
      <x:c r="K42" s="3" t="n">
        <x:f>E42-H42</x:f>
        <x:v>14.719999999999914</x:v>
      </x:c>
      <x:c r="L42" s="4" t="n">
        <x:v>1</x:v>
      </x:c>
      <x:c r="M42" s="4" t="n">
        <x:v>1</x:v>
      </x:c>
      <x:c r="N42" s="3" t="n">
        <x:f>F42-E42</x:f>
        <x:v>-2.3999999999999773</x:v>
      </x:c>
      <x:c r="O42" s="3" t="n">
        <x:f>ABS(N42)</x:f>
        <x:v>2.3999999999999773</x:v>
      </x:c>
      <x:c r="P42" s="3" t="n">
        <x:v>1729.3</x:v>
      </x:c>
      <x:c r="Q42" s="3" t="n">
        <x:v>557.7803102930759</x:v>
      </x:c>
      <x:c r="R42" s="3" t="n">
        <x:v>579.9800000000001</x:v>
      </x:c>
      <x:c r="S42" s="3" t="n">
        <x:v>557.7803102930759</x:v>
      </x:c>
      <x:c r="T42" s="3" t="n">
        <x:v>594.7</x:v>
      </x:c>
    </x:row>
    <x:row r="43" ht="20" customHeight="1">
      <x:c r="A43" s="2" t="str">
        <x:v>20250526</x:v>
      </x:c>
      <x:c r="B43" s="2" t="str">
        <x:v>E</x:v>
      </x:c>
      <x:c r="C43" s="2" t="str">
        <x:v>1288</x:v>
      </x:c>
      <x:c r="D43" s="2" t="str">
        <x:v>car</x:v>
      </x:c>
      <x:c r="E43" s="3" t="n">
        <x:v>7.1985238498804165</x:v>
      </x:c>
      <x:c r="F43" s="3" t="n">
        <x:v>3.798523849880553</x:v>
      </x:c>
      <x:c r="G43" s="3" t="n">
        <x:v>92.2485238498806</x:v>
      </x:c>
      <x:c r="H43" s="3" t="n">
        <x:v>0</x:v>
      </x:c>
      <x:c r="I43" s="3" t="n">
        <x:f>F43-H43</x:f>
        <x:v>3.798523849880553</x:v>
      </x:c>
      <x:c r="J43" s="3" t="n">
        <x:f>G43-H43</x:f>
        <x:v>92.2485238498806</x:v>
      </x:c>
      <x:c r="K43" s="3" t="n">
        <x:f>E43-H43</x:f>
        <x:v>7.1985238498804165</x:v>
      </x:c>
      <x:c r="L43" s="4" t="n">
        <x:v>1</x:v>
      </x:c>
      <x:c r="M43" s="4" t="n">
        <x:v>1</x:v>
      </x:c>
      <x:c r="N43" s="3" t="n">
        <x:f>F43-E43</x:f>
        <x:v>-3.3999999999998636</x:v>
      </x:c>
      <x:c r="O43" s="3" t="n">
        <x:f>ABS(N43)</x:f>
        <x:v>3.3999999999998636</x:v>
      </x:c>
      <x:c r="P43" s="3" t="n">
        <x:v>1729.3</x:v>
      </x:c>
      <x:c r="Q43" s="3" t="n">
        <x:v>589.6014761501195</x:v>
      </x:c>
      <x:c r="R43" s="3" t="n">
        <x:v>589.6014761501195</x:v>
      </x:c>
      <x:c r="S43" s="3" t="n">
        <x:v>681.8500000000001</x:v>
      </x:c>
      <x:c r="T43" s="3" t="n">
        <x:v>596.8</x:v>
      </x:c>
    </x:row>
    <x:row r="44" ht="20" customHeight="1">
      <x:c r="A44" s="2" t="str">
        <x:v>20250526</x:v>
      </x:c>
      <x:c r="B44" s="2" t="str">
        <x:v>E</x:v>
      </x:c>
      <x:c r="C44" s="2" t="str">
        <x:v>1434</x:v>
      </x:c>
      <x:c r="D44" s="2" t="str">
        <x:v>car</x:v>
      </x:c>
      <x:c r="E44" s="3" t="n">
        <x:v>65.0941510075329</x:v>
      </x:c>
      <x:c r="F44" s="3" t="n">
        <x:v>63.5941510075329</x:v>
      </x:c>
      <x:c r="G44" s="3" t="n">
        <x:v>18.644151007533083</x:v>
      </x:c>
      <x:c r="H44" s="3" t="n">
        <x:v>56.454151007532914</x:v>
      </x:c>
      <x:c r="I44" s="3" t="n">
        <x:f>F44-H44</x:f>
        <x:v>7.139999999999986</x:v>
      </x:c>
      <x:c r="J44" s="3" t="n">
        <x:f>G44-H44</x:f>
        <x:v>-37.80999999999983</x:v>
      </x:c>
      <x:c r="K44" s="3" t="n">
        <x:f>E44-H44</x:f>
        <x:v>8.639999999999986</x:v>
      </x:c>
      <x:c r="L44" s="4" t="n">
        <x:v>1</x:v>
      </x:c>
      <x:c r="M44" s="4" t="n">
        <x:v>1</x:v>
      </x:c>
      <x:c r="N44" s="3" t="n">
        <x:f>F44-E44</x:f>
        <x:v>-1.5</x:v>
      </x:c>
      <x:c r="O44" s="3" t="n">
        <x:f>ABS(N44)</x:f>
        <x:v>1.5</x:v>
      </x:c>
      <x:c r="P44" s="3" t="n">
        <x:v>1729.3</x:v>
      </x:c>
      <x:c r="Q44" s="3" t="n">
        <x:v>665.4058489924671</x:v>
      </x:c>
      <x:c r="R44" s="3" t="n">
        <x:v>721.86</x:v>
      </x:c>
      <x:c r="S44" s="3" t="n">
        <x:v>684.0500000000002</x:v>
      </x:c>
      <x:c r="T44" s="3" t="n">
        <x:v>730.5</x:v>
      </x:c>
    </x:row>
    <x:row r="45" ht="20" customHeight="1">
      <x:c r="A45" s="2" t="str">
        <x:v>20250526</x:v>
      </x:c>
      <x:c r="B45" s="2" t="str">
        <x:v>E</x:v>
      </x:c>
      <x:c r="C45" s="2" t="str">
        <x:v>1485</x:v>
      </x:c>
      <x:c r="D45" s="2" t="str">
        <x:v>bus</x:v>
      </x:c>
      <x:c r="E45" s="3" t="n">
        <x:v>39.69887350023009</x:v>
      </x:c>
      <x:c r="F45" s="3" t="n">
        <x:v>37.75887350023004</x:v>
      </x:c>
      <x:c r="G45" s="3" t="n">
        <x:v>111.84887350023018</x:v>
      </x:c>
      <x:c r="H45" s="3" t="n">
        <x:v>30.618873500230052</x:v>
      </x:c>
      <x:c r="I45" s="3" t="n">
        <x:f>F45-H45</x:f>
        <x:v>7.139999999999986</x:v>
      </x:c>
      <x:c r="J45" s="3" t="n">
        <x:f>G45-H45</x:f>
        <x:v>81.23000000000013</x:v>
      </x:c>
      <x:c r="K45" s="3" t="n">
        <x:f>E45-H45</x:f>
        <x:v>9.080000000000041</x:v>
      </x:c>
      <x:c r="L45" s="4" t="n">
        <x:v>1</x:v>
      </x:c>
      <x:c r="M45" s="4" t="n">
        <x:v>1</x:v>
      </x:c>
      <x:c r="N45" s="3" t="n">
        <x:f>F45-E45</x:f>
        <x:v>-1.9400000000000546</x:v>
      </x:c>
      <x:c r="O45" s="3" t="n">
        <x:f>ABS(N45)</x:f>
        <x:v>1.9400000000000546</x:v>
      </x:c>
      <x:c r="P45" s="3" t="n">
        <x:v>1729.3</x:v>
      </x:c>
      <x:c r="Q45" s="3" t="n">
        <x:v>693.00112649977</x:v>
      </x:c>
      <x:c r="R45" s="3" t="n">
        <x:v>723.62</x:v>
      </x:c>
      <x:c r="S45" s="3" t="n">
        <x:v>804.8500000000001</x:v>
      </x:c>
      <x:c r="T45" s="3" t="n">
        <x:v>732.7</x:v>
      </x:c>
    </x:row>
    <x:row r="46" ht="20" customHeight="1">
      <x:c r="A46" s="2" t="str">
        <x:v>20250526</x:v>
      </x:c>
      <x:c r="B46" s="2" t="str">
        <x:v>E</x:v>
      </x:c>
      <x:c r="C46" s="2" t="str">
        <x:v>1547</x:v>
      </x:c>
      <x:c r="D46" s="2" t="str">
        <x:v>car</x:v>
      </x:c>
      <x:c r="E46" s="3" t="n">
        <x:v>20.796670363560906</x:v>
      </x:c>
      <x:c r="F46" s="3" t="n">
        <x:v>18.856670363560966</x:v>
      </x:c>
      <x:c r="G46" s="3" t="n">
        <x:v>92.94667036356111</x:v>
      </x:c>
      <x:c r="H46" s="3" t="n">
        <x:v>11.71667036356098</x:v>
      </x:c>
      <x:c r="I46" s="3" t="n">
        <x:f>F46-H46</x:f>
        <x:v>7.139999999999986</x:v>
      </x:c>
      <x:c r="J46" s="3" t="n">
        <x:f>G46-H46</x:f>
        <x:v>81.23000000000013</x:v>
      </x:c>
      <x:c r="K46" s="3" t="n">
        <x:f>E46-H46</x:f>
        <x:v>9.079999999999927</x:v>
      </x:c>
      <x:c r="L46" s="4" t="n">
        <x:v>1</x:v>
      </x:c>
      <x:c r="M46" s="4" t="n">
        <x:v>1</x:v>
      </x:c>
      <x:c r="N46" s="3" t="n">
        <x:f>F46-E46</x:f>
        <x:v>-1.9399999999999409</x:v>
      </x:c>
      <x:c r="O46" s="3" t="n">
        <x:f>ABS(N46)</x:f>
        <x:v>1.9399999999999409</x:v>
      </x:c>
      <x:c r="P46" s="3" t="n">
        <x:v>1729.3</x:v>
      </x:c>
      <x:c r="Q46" s="3" t="n">
        <x:v>713.003329636439</x:v>
      </x:c>
      <x:c r="R46" s="3" t="n">
        <x:v>724.72</x:v>
      </x:c>
      <x:c r="S46" s="3" t="n">
        <x:v>805.9500000000002</x:v>
      </x:c>
      <x:c r="T46" s="3" t="n">
        <x:v>733.8</x:v>
      </x:c>
    </x:row>
    <x:row r="47" ht="20" customHeight="1">
      <x:c r="A47" s="2" t="str">
        <x:v>20250526</x:v>
      </x:c>
      <x:c r="B47" s="2" t="str">
        <x:v>E</x:v>
      </x:c>
      <x:c r="C47" s="2" t="str">
        <x:v>1680</x:v>
      </x:c>
      <x:c r="D47" s="2" t="str">
        <x:v>car</x:v>
      </x:c>
      <x:c r="E47" s="3" t="n">
        <x:v>108.74879657715314</x:v>
      </x:c>
      <x:c r="F47" s="3" t="n">
        <x:v>104.44879657715319</x:v>
      </x:c>
      <x:c r="G47" s="3" t="n">
        <x:v>45.698796577153416</x:v>
      </x:c>
      <x:c r="H47" s="3" t="n">
        <x:v>96.5587965771532</x:v>
      </x:c>
      <x:c r="I47" s="3" t="n">
        <x:f>F47-H47</x:f>
        <x:v>7.889999999999986</x:v>
      </x:c>
      <x:c r="J47" s="3" t="n">
        <x:f>G47-H47</x:f>
        <x:v>-50.859999999999786</x:v>
      </x:c>
      <x:c r="K47" s="3" t="n">
        <x:f>E47-H47</x:f>
        <x:v>12.18999999999994</x:v>
      </x:c>
      <x:c r="L47" s="4" t="n">
        <x:v>1</x:v>
      </x:c>
      <x:c r="M47" s="4" t="n">
        <x:v>1</x:v>
      </x:c>
      <x:c r="N47" s="3" t="n">
        <x:f>F47-E47</x:f>
        <x:v>-4.2999999999999545</x:v>
      </x:c>
      <x:c r="O47" s="3" t="n">
        <x:f>ABS(N47)</x:f>
        <x:v>4.2999999999999545</x:v>
      </x:c>
      <x:c r="P47" s="3" t="n">
        <x:v>1729.3</x:v>
      </x:c>
      <x:c r="Q47" s="3" t="n">
        <x:v>763.5512034228468</x:v>
      </x:c>
      <x:c r="R47" s="3" t="n">
        <x:v>860.11</x:v>
      </x:c>
      <x:c r="S47" s="3" t="n">
        <x:v>809.2500000000002</x:v>
      </x:c>
      <x:c r="T47" s="3" t="n">
        <x:v>872.3</x:v>
      </x:c>
    </x:row>
    <x:row r="48" ht="20" customHeight="1">
      <x:c r="A48" s="2" t="str">
        <x:v>20250526</x:v>
      </x:c>
      <x:c r="B48" s="2" t="str">
        <x:v>E</x:v>
      </x:c>
      <x:c r="C48" s="2" t="str">
        <x:v>1714</x:v>
      </x:c>
      <x:c r="D48" s="2" t="str">
        <x:v>car</x:v>
      </x:c>
      <x:c r="E48" s="3" t="n">
        <x:v>95.33014440324007</x:v>
      </x:c>
      <x:c r="F48" s="3" t="n">
        <x:v>91.43014440324009</x:v>
      </x:c>
      <x:c r="G48" s="3" t="n">
        <x:v>32.68014440324032</x:v>
      </x:c>
      <x:c r="H48" s="3" t="n">
        <x:v>83.5401444032401</x:v>
      </x:c>
      <x:c r="I48" s="3" t="n">
        <x:f>F48-H48</x:f>
        <x:v>7.889999999999986</x:v>
      </x:c>
      <x:c r="J48" s="3" t="n">
        <x:f>G48-H48</x:f>
        <x:v>-50.859999999999786</x:v>
      </x:c>
      <x:c r="K48" s="3" t="n">
        <x:f>E48-H48</x:f>
        <x:v>11.789999999999964</x:v>
      </x:c>
      <x:c r="L48" s="4" t="n">
        <x:v>1</x:v>
      </x:c>
      <x:c r="M48" s="4" t="n">
        <x:v>1</x:v>
      </x:c>
      <x:c r="N48" s="3" t="n">
        <x:f>F48-E48</x:f>
        <x:v>-3.8999999999999773</x:v>
      </x:c>
      <x:c r="O48" s="3" t="n">
        <x:f>ABS(N48)</x:f>
        <x:v>3.8999999999999773</x:v>
      </x:c>
      <x:c r="P48" s="3" t="n">
        <x:v>1729.3</x:v>
      </x:c>
      <x:c r="Q48" s="3" t="n">
        <x:v>777.6698555967599</x:v>
      </x:c>
      <x:c r="R48" s="3" t="n">
        <x:v>861.21</x:v>
      </x:c>
      <x:c r="S48" s="3" t="n">
        <x:v>810.3500000000003</x:v>
      </x:c>
      <x:c r="T48" s="3" t="n">
        <x:v>873</x:v>
      </x:c>
    </x:row>
    <x:row r="49" ht="20" customHeight="1">
      <x:c r="A49" s="2" t="str">
        <x:v>20250526</x:v>
      </x:c>
      <x:c r="B49" s="2" t="str">
        <x:v>E</x:v>
      </x:c>
      <x:c r="C49" s="2" t="str">
        <x:v>1749</x:v>
      </x:c>
      <x:c r="D49" s="2" t="str">
        <x:v>car</x:v>
      </x:c>
      <x:c r="E49" s="3" t="n">
        <x:v>83.15779657715314</x:v>
      </x:c>
      <x:c r="F49" s="3" t="n">
        <x:v>77.05779657715323</x:v>
      </x:c>
      <x:c r="G49" s="3" t="n">
        <x:v>18.307796577153454</x:v>
      </x:c>
      <x:c r="H49" s="3" t="n">
        <x:v>69.16779657715324</x:v>
      </x:c>
      <x:c r="I49" s="3" t="n">
        <x:f>F49-H49</x:f>
        <x:v>7.889999999999986</x:v>
      </x:c>
      <x:c r="J49" s="3" t="n">
        <x:f>G49-H49</x:f>
        <x:v>-50.859999999999786</x:v>
      </x:c>
      <x:c r="K49" s="3" t="n">
        <x:f>E49-H49</x:f>
        <x:v>13.989999999999895</x:v>
      </x:c>
      <x:c r="L49" s="4" t="n">
        <x:v>1</x:v>
      </x:c>
      <x:c r="M49" s="4" t="n">
        <x:v>1</x:v>
      </x:c>
      <x:c r="N49" s="3" t="n">
        <x:f>F49-E49</x:f>
        <x:v>-6.099999999999909</x:v>
      </x:c>
      <x:c r="O49" s="3" t="n">
        <x:f>ABS(N49)</x:f>
        <x:v>6.099999999999909</x:v>
      </x:c>
      <x:c r="P49" s="3" t="n">
        <x:v>1729.3</x:v>
      </x:c>
      <x:c r="Q49" s="3" t="n">
        <x:v>793.1422034228468</x:v>
      </x:c>
      <x:c r="R49" s="3" t="n">
        <x:v>862.3100000000001</x:v>
      </x:c>
      <x:c r="S49" s="3" t="n">
        <x:v>811.4500000000003</x:v>
      </x:c>
      <x:c r="T49" s="3" t="n">
        <x:v>876.3</x:v>
      </x:c>
    </x:row>
    <x:row r="50" ht="20" customHeight="1">
      <x:c r="A50" s="2" t="str">
        <x:v>20250526</x:v>
      </x:c>
      <x:c r="B50" s="2" t="str">
        <x:v>E</x:v>
      </x:c>
      <x:c r="C50" s="2" t="str">
        <x:v>1858</x:v>
      </x:c>
      <x:c r="D50" s="2" t="str">
        <x:v>car</x:v>
      </x:c>
      <x:c r="E50" s="3" t="n">
        <x:v>41.482939434295986</x:v>
      </x:c>
      <x:c r="F50" s="3" t="n">
        <x:v>37.18293943429603</x:v>
      </x:c>
      <x:c r="G50" s="3" t="n">
        <x:v>101.54293943429604</x:v>
      </x:c>
      <x:c r="H50" s="3" t="n">
        <x:v>29.292939434296045</x:v>
      </x:c>
      <x:c r="I50" s="3" t="n">
        <x:f>F50-H50</x:f>
        <x:v>7.889999999999986</x:v>
      </x:c>
      <x:c r="J50" s="3" t="n">
        <x:f>G50-H50</x:f>
        <x:v>72.25</x:v>
      </x:c>
      <x:c r="K50" s="3" t="n">
        <x:f>E50-H50</x:f>
        <x:v>12.18999999999994</x:v>
      </x:c>
      <x:c r="L50" s="4" t="n">
        <x:v>1</x:v>
      </x:c>
      <x:c r="M50" s="4" t="n">
        <x:v>1</x:v>
      </x:c>
      <x:c r="N50" s="3" t="n">
        <x:f>F50-E50</x:f>
        <x:v>-4.2999999999999545</x:v>
      </x:c>
      <x:c r="O50" s="3" t="n">
        <x:f>ABS(N50)</x:f>
        <x:v>4.2999999999999545</x:v>
      </x:c>
      <x:c r="P50" s="3" t="n">
        <x:v>1729.3</x:v>
      </x:c>
      <x:c r="Q50" s="3" t="n">
        <x:v>834.117060565704</x:v>
      </x:c>
      <x:c r="R50" s="3" t="n">
        <x:v>863.4100000000001</x:v>
      </x:c>
      <x:c r="S50" s="3" t="n">
        <x:v>935.6600000000001</x:v>
      </x:c>
      <x:c r="T50" s="3" t="n">
        <x:v>875.6</x:v>
      </x:c>
    </x:row>
    <x:row r="51" ht="20" customHeight="1">
      <x:c r="A51" s="2" t="str">
        <x:v>20250526</x:v>
      </x:c>
      <x:c r="B51" s="2" t="str">
        <x:v>E</x:v>
      </x:c>
      <x:c r="C51" s="2" t="str">
        <x:v>1893</x:v>
      </x:c>
      <x:c r="D51" s="2" t="str">
        <x:v>car</x:v>
      </x:c>
      <x:c r="E51" s="3" t="n">
        <x:v>19.581857183213856</x:v>
      </x:c>
      <x:c r="F51" s="3" t="n">
        <x:v>22.381857183213924</x:v>
      </x:c>
      <x:c r="G51" s="3" t="n">
        <x:v>86.74185718321394</x:v>
      </x:c>
      <x:c r="H51" s="3" t="n">
        <x:v>14.491857183213938</x:v>
      </x:c>
      <x:c r="I51" s="3" t="n">
        <x:f>F51-H51</x:f>
        <x:v>7.889999999999986</x:v>
      </x:c>
      <x:c r="J51" s="3" t="n">
        <x:f>G51-H51</x:f>
        <x:v>72.25</x:v>
      </x:c>
      <x:c r="K51" s="3" t="n">
        <x:f>E51-H51</x:f>
        <x:v>5.089999999999918</x:v>
      </x:c>
      <x:c r="L51" s="4" t="n">
        <x:v>1</x:v>
      </x:c>
      <x:c r="M51" s="4" t="n">
        <x:v>1</x:v>
      </x:c>
      <x:c r="N51" s="3" t="n">
        <x:f>F51-E51</x:f>
        <x:v>2.800000000000068</x:v>
      </x:c>
      <x:c r="O51" s="3" t="n">
        <x:f>ABS(N51)</x:f>
        <x:v>2.800000000000068</x:v>
      </x:c>
      <x:c r="P51" s="3" t="n">
        <x:v>1729.3</x:v>
      </x:c>
      <x:c r="Q51" s="3" t="n">
        <x:v>850.0181428167862</x:v>
      </x:c>
      <x:c r="R51" s="3" t="n">
        <x:v>864.5100000000001</x:v>
      </x:c>
      <x:c r="S51" s="3" t="n">
        <x:v>936.7600000000001</x:v>
      </x:c>
      <x:c r="T51" s="3" t="n">
        <x:v>869.6</x:v>
      </x:c>
    </x:row>
    <x:row r="52" ht="20" customHeight="1">
      <x:c r="A52" s="2" t="str">
        <x:v>20250526</x:v>
      </x:c>
      <x:c r="B52" s="2" t="str">
        <x:v>E</x:v>
      </x:c>
      <x:c r="C52" s="2" t="str">
        <x:v>1984</x:v>
      </x:c>
      <x:c r="D52" s="2" t="str">
        <x:v>car</x:v>
      </x:c>
      <x:c r="E52" s="3" t="n">
        <x:v>0.5163138185324669</x:v>
      </x:c>
      <x:c r="F52" s="3" t="n">
        <x:v>0</x:v>
      </x:c>
      <x:c r="G52" s="3" t="n">
        <x:v>55.77631381853257</x:v>
      </x:c>
      <x:c r="H52" s="3" t="n">
        <x:v>0</x:v>
      </x:c>
      <x:c r="I52" s="3" t="n">
        <x:f>F52-H52</x:f>
        <x:v>0</x:v>
      </x:c>
      <x:c r="J52" s="3" t="n">
        <x:f>G52-H52</x:f>
        <x:v>55.77631381853257</x:v>
      </x:c>
      <x:c r="K52" s="3" t="n">
        <x:f>E52-H52</x:f>
        <x:v>0.5163138185324669</x:v>
      </x:c>
      <x:c r="L52" s="4" t="n">
        <x:v>1</x:v>
      </x:c>
      <x:c r="M52" s="4" t="n">
        <x:v>1</x:v>
      </x:c>
      <x:c r="N52" s="3" t="n">
        <x:f>F52-E52</x:f>
        <x:v>-0.5163138185324669</x:v>
      </x:c>
      <x:c r="O52" s="3" t="n">
        <x:f>ABS(N52)</x:f>
        <x:v>0.5163138185324669</x:v>
      </x:c>
      <x:c r="P52" s="3" t="n">
        <x:v>1729.3</x:v>
      </x:c>
      <x:c r="Q52" s="3" t="n">
        <x:v>882.0836861814676</x:v>
      </x:c>
      <x:c r="R52" s="3" t="n">
        <x:v>882.0836861814676</x:v>
      </x:c>
      <x:c r="S52" s="3" t="n">
        <x:v>937.8600000000001</x:v>
      </x:c>
      <x:c r="T52" s="3" t="n">
        <x:v>882.6</x:v>
      </x:c>
    </x:row>
    <x:row r="53" ht="20" customHeight="1">
      <x:c r="A53" s="2" t="str">
        <x:v>20250526</x:v>
      </x:c>
      <x:c r="B53" s="2" t="str">
        <x:v>E</x:v>
      </x:c>
      <x:c r="C53" s="2" t="str">
        <x:v>2084</x:v>
      </x:c>
      <x:c r="D53" s="2" t="str">
        <x:v>car</x:v>
      </x:c>
      <x:c r="E53" s="3" t="n">
        <x:v>78.73912991048644</x:v>
      </x:c>
      <x:c r="F53" s="3" t="n">
        <x:v>75.43912991048649</x:v>
      </x:c>
      <x:c r="G53" s="3" t="n">
        <x:v>5.399129910486636</x:v>
      </x:c>
      <x:c r="H53" s="3" t="n">
        <x:v>84.37912991048654</x:v>
      </x:c>
      <x:c r="I53" s="3" t="n">
        <x:f>F53-H53</x:f>
        <x:v>-8.940000000000055</x:v>
      </x:c>
      <x:c r="J53" s="3" t="n">
        <x:f>G53-H53</x:f>
        <x:v>-78.9799999999999</x:v>
      </x:c>
      <x:c r="K53" s="3" t="n">
        <x:f>E53-H53</x:f>
        <x:v>-5.6400000000001</x:v>
      </x:c>
      <x:c r="L53" s="4" t="n">
        <x:v>1</x:v>
      </x:c>
      <x:c r="M53" s="4" t="n">
        <x:v>1</x:v>
      </x:c>
      <x:c r="N53" s="3" t="n">
        <x:f>F53-E53</x:f>
        <x:v>-3.2999999999999545</x:v>
      </x:c>
      <x:c r="O53" s="3" t="n">
        <x:f>ABS(N53)</x:f>
        <x:v>3.2999999999999545</x:v>
      </x:c>
      <x:c r="P53" s="3" t="n">
        <x:v>1729.3</x:v>
      </x:c>
      <x:c r="Q53" s="3" t="n">
        <x:v>933.5608700895135</x:v>
      </x:c>
      <x:c r="R53" s="3" t="n">
        <x:v>1017.94</x:v>
      </x:c>
      <x:c r="S53" s="3" t="n">
        <x:v>938.9600000000002</x:v>
      </x:c>
      <x:c r="T53" s="3" t="n">
        <x:v>1012.3</x:v>
      </x:c>
    </x:row>
    <x:row r="54" ht="20" customHeight="1">
      <x:c r="A54" s="2" t="str">
        <x:v>20250526</x:v>
      </x:c>
      <x:c r="B54" s="2" t="str">
        <x:v>E</x:v>
      </x:c>
      <x:c r="C54" s="2" t="str">
        <x:v>2151</x:v>
      </x:c>
      <x:c r="D54" s="2" t="str">
        <x:v>car</x:v>
      </x:c>
      <x:c r="E54" s="3" t="n">
        <x:v>56.13809165912028</x:v>
      </x:c>
      <x:c r="F54" s="3" t="n">
        <x:v>53.7380916591203</x:v>
      </x:c>
      <x:c r="G54" s="3" t="n">
        <x:v>104.16809165912048</x:v>
      </x:c>
      <x:c r="H54" s="3" t="n">
        <x:v>62.678091659120355</x:v>
      </x:c>
      <x:c r="I54" s="3" t="n">
        <x:f>F54-H54</x:f>
        <x:v>-8.940000000000055</x:v>
      </x:c>
      <x:c r="J54" s="3" t="n">
        <x:f>G54-H54</x:f>
        <x:v>41.49000000000012</x:v>
      </x:c>
      <x:c r="K54" s="3" t="n">
        <x:f>E54-H54</x:f>
        <x:v>-6.540000000000077</x:v>
      </x:c>
      <x:c r="L54" s="4" t="n">
        <x:v>1</x:v>
      </x:c>
      <x:c r="M54" s="4" t="n">
        <x:v>1</x:v>
      </x:c>
      <x:c r="N54" s="3" t="n">
        <x:f>F54-E54</x:f>
        <x:v>-2.3999999999999773</x:v>
      </x:c>
      <x:c r="O54" s="3" t="n">
        <x:f>ABS(N54)</x:f>
        <x:v>2.3999999999999773</x:v>
      </x:c>
      <x:c r="P54" s="3" t="n">
        <x:v>1729.3</x:v>
      </x:c>
      <x:c r="Q54" s="3" t="n">
        <x:v>956.3619083408797</x:v>
      </x:c>
      <x:c r="R54" s="3" t="n">
        <x:v>1019.0400000000001</x:v>
      </x:c>
      <x:c r="S54" s="3" t="n">
        <x:v>1060.5300000000002</x:v>
      </x:c>
      <x:c r="T54" s="3" t="n">
        <x:v>1012.5</x:v>
      </x:c>
    </x:row>
    <x:row r="55" ht="20" customHeight="1">
      <x:c r="A55" s="2" t="str">
        <x:v>20250526</x:v>
      </x:c>
      <x:c r="B55" s="2" t="str">
        <x:v>E</x:v>
      </x:c>
      <x:c r="C55" s="2" t="str">
        <x:v>2196</x:v>
      </x:c>
      <x:c r="D55" s="2" t="str">
        <x:v>car</x:v>
      </x:c>
      <x:c r="E55" s="3" t="n">
        <x:v>42.79008229143881</x:v>
      </x:c>
      <x:c r="F55" s="3" t="n">
        <x:v>37.39008229143883</x:v>
      </x:c>
      <x:c r="G55" s="3" t="n">
        <x:v>87.8200822914389</x:v>
      </x:c>
      <x:c r="H55" s="3" t="n">
        <x:v>46.330082291438885</x:v>
      </x:c>
      <x:c r="I55" s="3" t="n">
        <x:f>F55-H55</x:f>
        <x:v>-8.940000000000055</x:v>
      </x:c>
      <x:c r="J55" s="3" t="n">
        <x:f>G55-H55</x:f>
        <x:v>41.49000000000001</x:v>
      </x:c>
      <x:c r="K55" s="3" t="n">
        <x:f>E55-H55</x:f>
        <x:v>-3.5400000000000773</x:v>
      </x:c>
      <x:c r="L55" s="4" t="n">
        <x:v>1</x:v>
      </x:c>
      <x:c r="M55" s="4" t="n">
        <x:v>1</x:v>
      </x:c>
      <x:c r="N55" s="3" t="n">
        <x:f>F55-E55</x:f>
        <x:v>-5.399999999999977</x:v>
      </x:c>
      <x:c r="O55" s="3" t="n">
        <x:f>ABS(N55)</x:f>
        <x:v>5.399999999999977</x:v>
      </x:c>
      <x:c r="P55" s="3" t="n">
        <x:v>1729.3</x:v>
      </x:c>
      <x:c r="Q55" s="3" t="n">
        <x:v>973.8099177085612</x:v>
      </x:c>
      <x:c r="R55" s="3" t="n">
        <x:v>1020.1400000000001</x:v>
      </x:c>
      <x:c r="S55" s="3" t="n">
        <x:v>1061.63</x:v>
      </x:c>
      <x:c r="T55" s="3" t="n">
        <x:v>1016.6</x:v>
      </x:c>
    </x:row>
    <x:row r="56" ht="20" customHeight="1">
      <x:c r="A56" s="2" t="str">
        <x:v>20250526</x:v>
      </x:c>
      <x:c r="B56" s="2" t="str">
        <x:v>E</x:v>
      </x:c>
      <x:c r="C56" s="2" t="str">
        <x:v>2279</x:v>
      </x:c>
      <x:c r="D56" s="2" t="str">
        <x:v>car</x:v>
      </x:c>
      <x:c r="E56" s="3" t="n">
        <x:v>12.694089260079977</x:v>
      </x:c>
      <x:c r="F56" s="3" t="n">
        <x:v>9.494089260080045</x:v>
      </x:c>
      <x:c r="G56" s="3" t="n">
        <x:v>59.924089260079995</x:v>
      </x:c>
      <x:c r="H56" s="3" t="n">
        <x:v>18.4340892600801</x:v>
      </x:c>
      <x:c r="I56" s="3" t="n">
        <x:f>F56-H56</x:f>
        <x:v>-8.940000000000055</x:v>
      </x:c>
      <x:c r="J56" s="3" t="n">
        <x:f>G56-H56</x:f>
        <x:v>41.489999999999895</x:v>
      </x:c>
      <x:c r="K56" s="3" t="n">
        <x:f>E56-H56</x:f>
        <x:v>-5.740000000000123</x:v>
      </x:c>
      <x:c r="L56" s="4" t="n">
        <x:v>1</x:v>
      </x:c>
      <x:c r="M56" s="4" t="n">
        <x:v>1</x:v>
      </x:c>
      <x:c r="N56" s="3" t="n">
        <x:f>F56-E56</x:f>
        <x:v>-3.199999999999932</x:v>
      </x:c>
      <x:c r="O56" s="3" t="n">
        <x:f>ABS(N56)</x:f>
        <x:v>3.199999999999932</x:v>
      </x:c>
      <x:c r="P56" s="3" t="n">
        <x:v>1729.3</x:v>
      </x:c>
      <x:c r="Q56" s="3" t="n">
        <x:v>1002.80591073992</x:v>
      </x:c>
      <x:c r="R56" s="3" t="n">
        <x:v>1021.2400000000001</x:v>
      </x:c>
      <x:c r="S56" s="3" t="n">
        <x:v>1062.73</x:v>
      </x:c>
      <x:c r="T56" s="3" t="n">
        <x:v>1015.5</x:v>
      </x:c>
    </x:row>
    <x:row r="57" ht="20" customHeight="1">
      <x:c r="A57" s="2" t="str">
        <x:v>20250526</x:v>
      </x:c>
      <x:c r="B57" s="2" t="str">
        <x:v>E</x:v>
      </x:c>
      <x:c r="C57" s="2" t="str">
        <x:v>2322</x:v>
      </x:c>
      <x:c r="D57" s="2" t="str">
        <x:v>car</x:v>
      </x:c>
      <x:c r="E57" s="3" t="n">
        <x:v>0.3800822914388391</x:v>
      </x:c>
      <x:c r="F57" s="3" t="n">
        <x:v>0</x:v>
      </x:c>
      <x:c r="G57" s="3" t="n">
        <x:v>36.11008229143886</x:v>
      </x:c>
      <x:c r="H57" s="3" t="n">
        <x:v>0</x:v>
      </x:c>
      <x:c r="I57" s="3" t="n">
        <x:f>F57-H57</x:f>
        <x:v>0</x:v>
      </x:c>
      <x:c r="J57" s="3" t="n">
        <x:f>G57-H57</x:f>
        <x:v>36.11008229143886</x:v>
      </x:c>
      <x:c r="K57" s="3" t="n">
        <x:f>E57-H57</x:f>
        <x:v>0.3800822914388391</x:v>
      </x:c>
      <x:c r="L57" s="4" t="n">
        <x:v>1</x:v>
      </x:c>
      <x:c r="M57" s="4" t="n">
        <x:v>1</x:v>
      </x:c>
      <x:c r="N57" s="3" t="n">
        <x:f>F57-E57</x:f>
        <x:v>-0.3800822914388391</x:v>
      </x:c>
      <x:c r="O57" s="3" t="n">
        <x:f>ABS(N57)</x:f>
        <x:v>0.3800822914388391</x:v>
      </x:c>
      <x:c r="P57" s="3" t="n">
        <x:v>1729.3</x:v>
      </x:c>
      <x:c r="Q57" s="3" t="n">
        <x:v>1027.719917708561</x:v>
      </x:c>
      <x:c r="R57" s="3" t="n">
        <x:v>1027.719917708561</x:v>
      </x:c>
      <x:c r="S57" s="3" t="n">
        <x:v>1063.83</x:v>
      </x:c>
      <x:c r="T57" s="3" t="n">
        <x:v>1028.1</x:v>
      </x:c>
    </x:row>
    <x:row r="58" ht="20" customHeight="1">
      <x:c r="A58" s="2" t="str">
        <x:v>20250526</x:v>
      </x:c>
      <x:c r="B58" s="2" t="str">
        <x:v>E</x:v>
      </x:c>
      <x:c r="C58" s="2" t="str">
        <x:v>2417</x:v>
      </x:c>
      <x:c r="D58" s="2" t="str">
        <x:v>car</x:v>
      </x:c>
      <x:c r="E58" s="3" t="n">
        <x:v>48.45028637307155</x:v>
      </x:c>
      <x:c r="F58" s="3" t="n">
        <x:v>43.7502863730715</x:v>
      </x:c>
      <x:c r="G58" s="3" t="n">
        <x:v>88.22028637307176</x:v>
      </x:c>
      <x:c r="H58" s="3" t="n">
        <x:v>109.94028637307156</x:v>
      </x:c>
      <x:c r="I58" s="3" t="n">
        <x:f>F58-H58</x:f>
        <x:v>-66.19000000000005</x:v>
      </x:c>
      <x:c r="J58" s="3" t="n">
        <x:f>G58-H58</x:f>
        <x:v>-21.7199999999998</x:v>
      </x:c>
      <x:c r="K58" s="3" t="n">
        <x:f>E58-H58</x:f>
        <x:v>-61.49000000000001</x:v>
      </x:c>
      <x:c r="L58" s="4" t="n">
        <x:v>1</x:v>
      </x:c>
      <x:c r="M58" s="4" t="n">
        <x:v>1</x:v>
      </x:c>
      <x:c r="N58" s="3" t="n">
        <x:f>F58-E58</x:f>
        <x:v>-4.7000000000000455</x:v>
      </x:c>
      <x:c r="O58" s="3" t="n">
        <x:f>ABS(N58)</x:f>
        <x:v>4.7000000000000455</x:v>
      </x:c>
      <x:c r="P58" s="3" t="n">
        <x:v>1729.3</x:v>
      </x:c>
      <x:c r="Q58" s="3" t="n">
        <x:v>1104.2497136269285</x:v>
      </x:c>
      <x:c r="R58" s="3" t="n">
        <x:v>1214.19</x:v>
      </x:c>
      <x:c r="S58" s="3" t="n">
        <x:v>1192.4700000000003</x:v>
      </x:c>
      <x:c r="T58" s="3" t="n">
        <x:v>1152.7</x:v>
      </x:c>
    </x:row>
    <x:row r="59" ht="20" customHeight="1">
      <x:c r="A59" s="2" t="str">
        <x:v>20250526</x:v>
      </x:c>
      <x:c r="B59" s="2" t="str">
        <x:v>E</x:v>
      </x:c>
      <x:c r="C59" s="2" t="str">
        <x:v>2419</x:v>
      </x:c>
      <x:c r="D59" s="2" t="str">
        <x:v>car</x:v>
      </x:c>
      <x:c r="E59" s="3" t="n">
        <x:v>45.718457127612055</x:v>
      </x:c>
      <x:c r="F59" s="3" t="n">
        <x:v>44.41845712761187</x:v>
      </x:c>
      <x:c r="G59" s="3" t="n">
        <x:v>88.88845712761213</x:v>
      </x:c>
      <x:c r="H59" s="3" t="n">
        <x:v>110.60845712761193</x:v>
      </x:c>
      <x:c r="I59" s="3" t="n">
        <x:f>F59-H59</x:f>
        <x:v>-66.19000000000005</x:v>
      </x:c>
      <x:c r="J59" s="3" t="n">
        <x:f>G59-H59</x:f>
        <x:v>-21.7199999999998</x:v>
      </x:c>
      <x:c r="K59" s="3" t="n">
        <x:f>E59-H59</x:f>
        <x:v>-64.88999999999987</x:v>
      </x:c>
      <x:c r="L59" s="4" t="n">
        <x:v>1</x:v>
      </x:c>
      <x:c r="M59" s="4" t="n">
        <x:v>1</x:v>
      </x:c>
      <x:c r="N59" s="3" t="n">
        <x:f>F59-E59</x:f>
        <x:v>-1.300000000000182</x:v>
      </x:c>
      <x:c r="O59" s="3" t="n">
        <x:f>ABS(N59)</x:f>
        <x:v>1.300000000000182</x:v>
      </x:c>
      <x:c r="P59" s="3" t="n">
        <x:v>1729.3</x:v>
      </x:c>
      <x:c r="Q59" s="3" t="n">
        <x:v>1104.681542872388</x:v>
      </x:c>
      <x:c r="R59" s="3" t="n">
        <x:v>1215.29</x:v>
      </x:c>
      <x:c r="S59" s="3" t="n">
        <x:v>1193.5700000000002</x:v>
      </x:c>
      <x:c r="T59" s="3" t="n">
        <x:v>1150.4</x:v>
      </x:c>
    </x:row>
    <x:row r="60" ht="20" customHeight="1">
      <x:c r="A60" s="2" t="str">
        <x:v>20250526</x:v>
      </x:c>
      <x:c r="B60" s="2" t="str">
        <x:v>E</x:v>
      </x:c>
      <x:c r="C60" s="2" t="str">
        <x:v>2583</x:v>
      </x:c>
      <x:c r="D60" s="2" t="str">
        <x:v>car</x:v>
      </x:c>
      <x:c r="E60" s="3" t="n">
        <x:v>77.70028637307132</x:v>
      </x:c>
      <x:c r="F60" s="3" t="n">
        <x:v>75.90028637307137</x:v>
      </x:c>
      <x:c r="G60" s="3" t="n">
        <x:v>112.30028637307169</x:v>
      </x:c>
      <x:c r="H60" s="3" t="n">
        <x:v>3.2902863730712397</x:v>
      </x:c>
      <x:c r="I60" s="3" t="n">
        <x:f>F60-H60</x:f>
        <x:v>72.61000000000013</x:v>
      </x:c>
      <x:c r="J60" s="3" t="n">
        <x:f>G60-H60</x:f>
        <x:v>109.01000000000045</x:v>
      </x:c>
      <x:c r="K60" s="3" t="n">
        <x:f>E60-H60</x:f>
        <x:v>74.41000000000008</x:v>
      </x:c>
      <x:c r="L60" s="4" t="n">
        <x:v>1</x:v>
      </x:c>
      <x:c r="M60" s="4" t="n">
        <x:v>1</x:v>
      </x:c>
      <x:c r="N60" s="3" t="n">
        <x:f>F60-E60</x:f>
        <x:v>-1.7999999999999545</x:v>
      </x:c>
      <x:c r="O60" s="3" t="n">
        <x:f>ABS(N60)</x:f>
        <x:v>1.7999999999999545</x:v>
      </x:c>
      <x:c r="P60" s="3" t="n">
        <x:v>1729.3</x:v>
      </x:c>
      <x:c r="Q60" s="3" t="n">
        <x:v>1213.0997136269286</x:v>
      </x:c>
      <x:c r="R60" s="3" t="n">
        <x:v>1216.3899999999999</x:v>
      </x:c>
      <x:c r="S60" s="3" t="n">
        <x:v>1325.4000000000003</x:v>
      </x:c>
      <x:c r="T60" s="3" t="n">
        <x:v>1290.8</x:v>
      </x:c>
    </x:row>
    <x:row r="61" ht="20" customHeight="1">
      <x:c r="A61" s="2" t="str">
        <x:v>20250526</x:v>
      </x:c>
      <x:c r="B61" s="2" t="str">
        <x:v>E</x:v>
      </x:c>
      <x:c r="C61" s="2" t="str">
        <x:v>2696</x:v>
      </x:c>
      <x:c r="D61" s="2" t="str">
        <x:v>car</x:v>
      </x:c>
      <x:c r="E61" s="3" t="n">
        <x:v>12.430342031698501</x:v>
      </x:c>
      <x:c r="F61" s="3" t="n">
        <x:v>11.03034203169841</x:v>
      </x:c>
      <x:c r="G61" s="3" t="n">
        <x:v>47.43034203169873</x:v>
      </x:c>
      <x:c r="H61" s="3" t="n">
        <x:v>0</x:v>
      </x:c>
      <x:c r="I61" s="3" t="n">
        <x:f>F61-H61</x:f>
        <x:v>11.03034203169841</x:v>
      </x:c>
      <x:c r="J61" s="3" t="n">
        <x:f>G61-H61</x:f>
        <x:v>47.43034203169873</x:v>
      </x:c>
      <x:c r="K61" s="3" t="n">
        <x:f>E61-H61</x:f>
        <x:v>12.430342031698501</x:v>
      </x:c>
      <x:c r="L61" s="4" t="n">
        <x:v>1</x:v>
      </x:c>
      <x:c r="M61" s="4" t="n">
        <x:v>1</x:v>
      </x:c>
      <x:c r="N61" s="3" t="n">
        <x:f>F61-E61</x:f>
        <x:v>-1.400000000000091</x:v>
      </x:c>
      <x:c r="O61" s="3" t="n">
        <x:f>ABS(N61)</x:f>
        <x:v>1.400000000000091</x:v>
      </x:c>
      <x:c r="P61" s="3" t="n">
        <x:v>1729.3</x:v>
      </x:c>
      <x:c r="Q61" s="3" t="n">
        <x:v>1279.0696579683015</x:v>
      </x:c>
      <x:c r="R61" s="3" t="n">
        <x:v>1279.0696579683015</x:v>
      </x:c>
      <x:c r="S61" s="3" t="n">
        <x:v>1326.5000000000002</x:v>
      </x:c>
      <x:c r="T61" s="3" t="n">
        <x:v>1291.5</x:v>
      </x:c>
    </x:row>
    <x:row r="62" ht="20" customHeight="1">
      <x:c r="A62" s="2" t="str">
        <x:v>20250526</x:v>
      </x:c>
      <x:c r="B62" s="2" t="str">
        <x:v>E</x:v>
      </x:c>
      <x:c r="C62" s="2" t="str">
        <x:v>2708</x:v>
      </x:c>
      <x:c r="D62" s="2" t="str">
        <x:v>car</x:v>
      </x:c>
      <x:c r="E62" s="3" t="n">
        <x:v>4.725796577153005</x:v>
      </x:c>
      <x:c r="F62" s="3" t="n">
        <x:v>1.3257965771529143</x:v>
      </x:c>
      <x:c r="G62" s="3" t="n">
        <x:v>37.72579657715323</x:v>
      </x:c>
      <x:c r="H62" s="3" t="n">
        <x:v>0</x:v>
      </x:c>
      <x:c r="I62" s="3" t="n">
        <x:f>F62-H62</x:f>
        <x:v>1.3257965771529143</x:v>
      </x:c>
      <x:c r="J62" s="3" t="n">
        <x:f>G62-H62</x:f>
        <x:v>37.72579657715323</x:v>
      </x:c>
      <x:c r="K62" s="3" t="n">
        <x:f>E62-H62</x:f>
        <x:v>4.725796577153005</x:v>
      </x:c>
      <x:c r="L62" s="4" t="n">
        <x:v>1</x:v>
      </x:c>
      <x:c r="M62" s="4" t="n">
        <x:v>1</x:v>
      </x:c>
      <x:c r="N62" s="3" t="n">
        <x:f>F62-E62</x:f>
        <x:v>-3.400000000000091</x:v>
      </x:c>
      <x:c r="O62" s="3" t="n">
        <x:f>ABS(N62)</x:f>
        <x:v>3.400000000000091</x:v>
      </x:c>
      <x:c r="P62" s="3" t="n">
        <x:v>1729.3</x:v>
      </x:c>
      <x:c r="Q62" s="3" t="n">
        <x:v>1289.874203422847</x:v>
      </x:c>
      <x:c r="R62" s="3" t="n">
        <x:v>1289.874203422847</x:v>
      </x:c>
      <x:c r="S62" s="3" t="n">
        <x:v>1327.6000000000001</x:v>
      </x:c>
      <x:c r="T62" s="3" t="n">
        <x:v>1294.6</x:v>
      </x:c>
    </x:row>
    <x:row r="63" ht="20" customHeight="1">
      <x:c r="A63" s="2" t="str">
        <x:v>20250526</x:v>
      </x:c>
      <x:c r="B63" s="2" t="str">
        <x:v>E</x:v>
      </x:c>
      <x:c r="C63" s="2" t="str">
        <x:v>2827</x:v>
      </x:c>
      <x:c r="D63" s="2" t="str">
        <x:v>car</x:v>
      </x:c>
      <x:c r="E63" s="3" t="n">
        <x:v>69.2195465771531</x:v>
      </x:c>
      <x:c r="F63" s="3" t="n">
        <x:v>65.61954657715319</x:v>
      </x:c>
      <x:c r="G63" s="3" t="n">
        <x:v>88.0195465771535</x:v>
      </x:c>
      <x:c r="H63" s="3" t="n">
        <x:v>63.91954657715337</x:v>
      </x:c>
      <x:c r="I63" s="3" t="n">
        <x:f>F63-H63</x:f>
        <x:v>1.699999999999818</x:v>
      </x:c>
      <x:c r="J63" s="3" t="n">
        <x:f>G63-H63</x:f>
        <x:v>24.100000000000136</x:v>
      </x:c>
      <x:c r="K63" s="3" t="n">
        <x:f>E63-H63</x:f>
        <x:v>5.299999999999727</x:v>
      </x:c>
      <x:c r="L63" s="4" t="n">
        <x:v>1</x:v>
      </x:c>
      <x:c r="M63" s="4" t="n">
        <x:v>1</x:v>
      </x:c>
      <x:c r="N63" s="3" t="n">
        <x:f>F63-E63</x:f>
        <x:v>-3.599999999999909</x:v>
      </x:c>
      <x:c r="O63" s="3" t="n">
        <x:f>ABS(N63)</x:f>
        <x:v>3.599999999999909</x:v>
      </x:c>
      <x:c r="P63" s="3" t="n">
        <x:v>1729.3</x:v>
      </x:c>
      <x:c r="Q63" s="3" t="n">
        <x:v>1362.3804534228468</x:v>
      </x:c>
      <x:c r="R63" s="3" t="n">
        <x:v>1426.3000000000002</x:v>
      </x:c>
      <x:c r="S63" s="3" t="n">
        <x:v>1450.4000000000003</x:v>
      </x:c>
      <x:c r="T63" s="3" t="n">
        <x:v>1431.6</x:v>
      </x:c>
    </x:row>
    <x:row r="64" ht="20" customHeight="1">
      <x:c r="A64" s="2" t="str">
        <x:v>20250526</x:v>
      </x:c>
      <x:c r="B64" s="2" t="str">
        <x:v>E</x:v>
      </x:c>
      <x:c r="C64" s="2" t="str">
        <x:v>2836</x:v>
      </x:c>
      <x:c r="D64" s="2" t="str">
        <x:v>car</x:v>
      </x:c>
      <x:c r="E64" s="3" t="n">
        <x:v>66.37157970968337</x:v>
      </x:c>
      <x:c r="F64" s="3" t="n">
        <x:v>64.57157970968319</x:v>
      </x:c>
      <x:c r="G64" s="3" t="n">
        <x:v>86.97157970968351</x:v>
      </x:c>
      <x:c r="H64" s="3" t="n">
        <x:v>62.871579709683374</x:v>
      </x:c>
      <x:c r="I64" s="3" t="n">
        <x:f>F64-H64</x:f>
        <x:v>1.699999999999818</x:v>
      </x:c>
      <x:c r="J64" s="3" t="n">
        <x:f>G64-H64</x:f>
        <x:v>24.100000000000136</x:v>
      </x:c>
      <x:c r="K64" s="3" t="n">
        <x:f>E64-H64</x:f>
        <x:v>3.5</x:v>
      </x:c>
      <x:c r="L64" s="4" t="n">
        <x:v>1</x:v>
      </x:c>
      <x:c r="M64" s="4" t="n">
        <x:v>1</x:v>
      </x:c>
      <x:c r="N64" s="3" t="n">
        <x:f>F64-E64</x:f>
        <x:v>-1.800000000000182</x:v>
      </x:c>
      <x:c r="O64" s="3" t="n">
        <x:f>ABS(N64)</x:f>
        <x:v>1.800000000000182</x:v>
      </x:c>
      <x:c r="P64" s="3" t="n">
        <x:v>1729.3</x:v>
      </x:c>
      <x:c r="Q64" s="3" t="n">
        <x:v>1364.5284202903167</x:v>
      </x:c>
      <x:c r="R64" s="3" t="n">
        <x:v>1427.4</x:v>
      </x:c>
      <x:c r="S64" s="3" t="n">
        <x:v>1451.5000000000002</x:v>
      </x:c>
      <x:c r="T64" s="3" t="n">
        <x:v>1430.9</x:v>
      </x:c>
    </x:row>
    <x:row r="65" ht="20" customHeight="1">
      <x:c r="A65" s="2" t="str">
        <x:v>20250526</x:v>
      </x:c>
      <x:c r="B65" s="2" t="str">
        <x:v>E</x:v>
      </x:c>
      <x:c r="C65" s="2" t="str">
        <x:v>2841</x:v>
      </x:c>
      <x:c r="D65" s="2" t="str">
        <x:v>car</x:v>
      </x:c>
      <x:c r="E65" s="3" t="n">
        <x:v>66.97174252309901</x:v>
      </x:c>
      <x:c r="F65" s="3" t="n">
        <x:v>64.67174252309883</x:v>
      </x:c>
      <x:c r="G65" s="3" t="n">
        <x:v>87.07174252309915</x:v>
      </x:c>
      <x:c r="H65" s="3" t="n">
        <x:v>62.97174252309901</x:v>
      </x:c>
      <x:c r="I65" s="3" t="n">
        <x:f>F65-H65</x:f>
        <x:v>1.699999999999818</x:v>
      </x:c>
      <x:c r="J65" s="3" t="n">
        <x:f>G65-H65</x:f>
        <x:v>24.100000000000136</x:v>
      </x:c>
      <x:c r="K65" s="3" t="n">
        <x:f>E65-H65</x:f>
        <x:v>4</x:v>
      </x:c>
      <x:c r="L65" s="4" t="n">
        <x:v>1</x:v>
      </x:c>
      <x:c r="M65" s="4" t="n">
        <x:v>1</x:v>
      </x:c>
      <x:c r="N65" s="3" t="n">
        <x:f>F65-E65</x:f>
        <x:v>-2.300000000000182</x:v>
      </x:c>
      <x:c r="O65" s="3" t="n">
        <x:f>ABS(N65)</x:f>
        <x:v>2.300000000000182</x:v>
      </x:c>
      <x:c r="P65" s="3" t="n">
        <x:v>1729.3</x:v>
      </x:c>
      <x:c r="Q65" s="3" t="n">
        <x:v>1365.528257476901</x:v>
      </x:c>
      <x:c r="R65" s="3" t="n">
        <x:v>1428.5</x:v>
      </x:c>
      <x:c r="S65" s="3" t="n">
        <x:v>1452.6000000000001</x:v>
      </x:c>
      <x:c r="T65" s="3" t="n">
        <x:v>1432.5</x:v>
      </x:c>
    </x:row>
    <x:row r="66" ht="20" customHeight="1">
      <x:c r="A66" s="2" t="str">
        <x:v>20250526</x:v>
      </x:c>
      <x:c r="B66" s="2" t="str">
        <x:v>E</x:v>
      </x:c>
      <x:c r="C66" s="2" t="str">
        <x:v>2875</x:v>
      </x:c>
      <x:c r="D66" s="2" t="str">
        <x:v>car</x:v>
      </x:c>
      <x:c r="E66" s="3" t="n">
        <x:v>56.863634414990884</x:v>
      </x:c>
      <x:c r="F66" s="3" t="n">
        <x:v>52.0636344149907</x:v>
      </x:c>
      <x:c r="G66" s="3" t="n">
        <x:v>74.46363441499102</x:v>
      </x:c>
      <x:c r="H66" s="3" t="n">
        <x:v>50.363634414990884</x:v>
      </x:c>
      <x:c r="I66" s="3" t="n">
        <x:f>F66-H66</x:f>
        <x:v>1.699999999999818</x:v>
      </x:c>
      <x:c r="J66" s="3" t="n">
        <x:f>G66-H66</x:f>
        <x:v>24.100000000000136</x:v>
      </x:c>
      <x:c r="K66" s="3" t="n">
        <x:f>E66-H66</x:f>
        <x:v>6.5</x:v>
      </x:c>
      <x:c r="L66" s="4" t="n">
        <x:v>1</x:v>
      </x:c>
      <x:c r="M66" s="4" t="n">
        <x:v>1</x:v>
      </x:c>
      <x:c r="N66" s="3" t="n">
        <x:f>F66-E66</x:f>
        <x:v>-4.800000000000182</x:v>
      </x:c>
      <x:c r="O66" s="3" t="n">
        <x:f>ABS(N66)</x:f>
        <x:v>4.800000000000182</x:v>
      </x:c>
      <x:c r="P66" s="3" t="n">
        <x:v>1729.3</x:v>
      </x:c>
      <x:c r="Q66" s="3" t="n">
        <x:v>1379.236365585009</x:v>
      </x:c>
      <x:c r="R66" s="3" t="n">
        <x:v>1429.6</x:v>
      </x:c>
      <x:c r="S66" s="3" t="n">
        <x:v>1453.7</x:v>
      </x:c>
      <x:c r="T66" s="3" t="n">
        <x:v>1436.1</x:v>
      </x:c>
    </x:row>
    <x:row r="67" ht="20" customHeight="1">
      <x:c r="A67" s="2" t="str">
        <x:v>20250526</x:v>
      </x:c>
      <x:c r="B67" s="2" t="str">
        <x:v>E</x:v>
      </x:c>
      <x:c r="C67" s="2" t="str">
        <x:v>3048</x:v>
      </x:c>
      <x:c r="D67" s="2" t="str">
        <x:v>car</x:v>
      </x:c>
      <x:c r="E67" s="3" t="n">
        <x:v>94.42293943429581</x:v>
      </x:c>
      <x:c r="F67" s="3" t="n">
        <x:v>89.3229394342959</x:v>
      </x:c>
      <x:c r="G67" s="3" t="n">
        <x:v>104.16293943429628</x:v>
      </x:c>
      <x:c r="H67" s="3" t="n">
        <x:v>91.37293943429609</x:v>
      </x:c>
      <x:c r="I67" s="3" t="n">
        <x:f>F67-H67</x:f>
        <x:v>-2.050000000000182</x:v>
      </x:c>
      <x:c r="J67" s="3" t="n">
        <x:f>G67-H67</x:f>
        <x:v>12.790000000000191</x:v>
      </x:c>
      <x:c r="K67" s="3" t="n">
        <x:f>E67-H67</x:f>
        <x:v>3.049999999999727</x:v>
      </x:c>
      <x:c r="L67" s="4" t="n">
        <x:v>1</x:v>
      </x:c>
      <x:c r="M67" s="4" t="n">
        <x:v>1</x:v>
      </x:c>
      <x:c r="N67" s="3" t="n">
        <x:f>F67-E67</x:f>
        <x:v>-5.099999999999909</x:v>
      </x:c>
      <x:c r="O67" s="3" t="n">
        <x:f>ABS(N67)</x:f>
        <x:v>5.099999999999909</x:v>
      </x:c>
      <x:c r="P67" s="3" t="n">
        <x:v>1729.3</x:v>
      </x:c>
      <x:c r="Q67" s="3" t="n">
        <x:v>1479.677060565704</x:v>
      </x:c>
      <x:c r="R67" s="3" t="n">
        <x:v>1571.0500000000002</x:v>
      </x:c>
      <x:c r="S67" s="3" t="n">
        <x:v>1583.8400000000004</x:v>
      </x:c>
      <x:c r="T67" s="3" t="n">
        <x:v>1574.1</x:v>
      </x:c>
    </x:row>
    <x:row r="68" ht="20" customHeight="1">
      <x:c r="A68" s="2" t="str">
        <x:v>20250526</x:v>
      </x:c>
      <x:c r="B68" s="2" t="str">
        <x:v>E</x:v>
      </x:c>
      <x:c r="C68" s="2" t="str">
        <x:v>3071</x:v>
      </x:c>
      <x:c r="D68" s="2" t="str">
        <x:v>car</x:v>
      </x:c>
      <x:c r="E68" s="3" t="n">
        <x:v>82.11416867017624</x:v>
      </x:c>
      <x:c r="F68" s="3" t="n">
        <x:v>78.11416867017624</x:v>
      </x:c>
      <x:c r="G68" s="3" t="n">
        <x:v>92.95416867017661</x:v>
      </x:c>
      <x:c r="H68" s="3" t="n">
        <x:v>80.16416867017642</x:v>
      </x:c>
      <x:c r="I68" s="3" t="n">
        <x:f>F68-H68</x:f>
        <x:v>-2.050000000000182</x:v>
      </x:c>
      <x:c r="J68" s="3" t="n">
        <x:f>G68-H68</x:f>
        <x:v>12.790000000000191</x:v>
      </x:c>
      <x:c r="K68" s="3" t="n">
        <x:f>E68-H68</x:f>
        <x:v>1.949999999999818</x:v>
      </x:c>
      <x:c r="L68" s="4" t="n">
        <x:v>1</x:v>
      </x:c>
      <x:c r="M68" s="4" t="n">
        <x:v>1</x:v>
      </x:c>
      <x:c r="N68" s="3" t="n">
        <x:f>F68-E68</x:f>
        <x:v>-4</x:v>
      </x:c>
      <x:c r="O68" s="3" t="n">
        <x:f>ABS(N68)</x:f>
        <x:v>4</x:v>
      </x:c>
      <x:c r="P68" s="3" t="n">
        <x:v>1729.3</x:v>
      </x:c>
      <x:c r="Q68" s="3" t="n">
        <x:v>1491.9858313298237</x:v>
      </x:c>
      <x:c r="R68" s="3" t="n">
        <x:v>1572.15</x:v>
      </x:c>
      <x:c r="S68" s="3" t="n">
        <x:v>1584.9400000000003</x:v>
      </x:c>
      <x:c r="T68" s="3" t="n">
        <x:v>1574.1</x:v>
      </x:c>
    </x:row>
    <x:row r="69" ht="20" customHeight="1">
      <x:c r="A69" s="2" t="str">
        <x:v>20250526</x:v>
      </x:c>
      <x:c r="B69" s="2" t="str">
        <x:v>E</x:v>
      </x:c>
      <x:c r="C69" s="2" t="str">
        <x:v>3401</x:v>
      </x:c>
      <x:c r="D69" s="2" t="str">
        <x:v>car</x:v>
      </x:c>
      <x:c r="E69" s="3" t="n">
        <x:v>42.064068182091205</x:v>
      </x:c>
      <x:c r="F69" s="3" t="n">
        <x:v>31.464068182091296</x:v>
      </x:c>
      <x:c r="G69" s="3" t="n">
        <x:v>30.30406818209167</x:v>
      </x:c>
      <x:c r="H69" s="3" t="n">
        <x:v>16.514068182091478</x:v>
      </x:c>
      <x:c r="I69" s="3" t="n">
        <x:f>F69-H69</x:f>
        <x:v>14.949999999999818</x:v>
      </x:c>
      <x:c r="J69" s="3" t="n">
        <x:f>G69-H69</x:f>
        <x:v>13.790000000000191</x:v>
      </x:c>
      <x:c r="K69" s="3" t="n">
        <x:f>E69-H69</x:f>
        <x:v>25.549999999999727</x:v>
      </x:c>
      <x:c r="L69" s="4" t="n">
        <x:v>1</x:v>
      </x:c>
      <x:c r="M69" s="4" t="n">
        <x:v>1</x:v>
      </x:c>
      <x:c r="N69" s="3" t="n">
        <x:f>F69-E69</x:f>
        <x:v>-10.599999999999909</x:v>
      </x:c>
      <x:c r="O69" s="3" t="n">
        <x:f>ABS(N69)</x:f>
        <x:v>10.599999999999909</x:v>
      </x:c>
      <x:c r="P69" s="3" t="n">
        <x:v>1729.3</x:v>
      </x:c>
      <x:c r="Q69" s="3" t="n">
        <x:v>1677.5359318179087</x:v>
      </x:c>
      <x:c r="R69" s="3" t="n">
        <x:v>1694.0500000000002</x:v>
      </x:c>
      <x:c r="S69" s="3" t="n">
        <x:v>1707.8400000000004</x:v>
      </x:c>
      <x:c r="T69" s="3" t="n">
        <x:v>1719.6</x:v>
      </x:c>
    </x:row>
    <x:row r="70" ht="20" customHeight="1">
      <x:c r="A70" s="2" t="str">
        <x:v>20250526</x:v>
      </x:c>
      <x:c r="B70" s="2" t="str">
        <x:v>E</x:v>
      </x:c>
      <x:c r="C70" s="2" t="str">
        <x:v>3475</x:v>
      </x:c>
      <x:c r="D70" s="2" t="str">
        <x:v>car</x:v>
      </x:c>
      <x:c r="E70" s="3" t="n">
        <x:v>0.8312910826475672</x:v>
      </x:c>
      <x:c r="F70" s="3" t="n">
        <x:v>0</x:v>
      </x:c>
      <x:c r="G70" s="3" t="n">
        <x:v>7.231291082647431</x:v>
      </x:c>
      <x:c r="H70" s="3" t="n">
        <x:v>0</x:v>
      </x:c>
      <x:c r="I70" s="3" t="n">
        <x:f>F70-H70</x:f>
        <x:v>0</x:v>
      </x:c>
      <x:c r="J70" s="3" t="n">
        <x:f>G70-H70</x:f>
        <x:v>7.231291082647431</x:v>
      </x:c>
      <x:c r="K70" s="3" t="n">
        <x:f>E70-H70</x:f>
        <x:v>0.8312910826475672</x:v>
      </x:c>
      <x:c r="L70" s="4" t="n">
        <x:v>1</x:v>
      </x:c>
      <x:c r="M70" s="4" t="n">
        <x:v>0</x:v>
      </x:c>
      <x:c r="N70" s="3" t="n">
        <x:f>F70-E70</x:f>
        <x:v>-0.8312910826475672</x:v>
      </x:c>
      <x:c r="O70" s="3" t="n">
        <x:f>ABS(N70)</x:f>
        <x:v>0.8312910826475672</x:v>
      </x:c>
      <x:c r="P70" s="3" t="n">
        <x:v>1729.3</x:v>
      </x:c>
      <x:c r="Q70" s="3" t="n">
        <x:v>1722.0687089173525</x:v>
      </x:c>
      <x:c r="R70" s="3" t="n">
        <x:v>1722.0687089173525</x:v>
      </x:c>
      <x:c r="S70" s="3"/>
      <x:c r="T70" s="3" t="n">
        <x:v>1722.9</x:v>
      </x:c>
    </x:row>
    <x:row r="71" ht="20" customHeight="1">
      <x:c r="A71" s="2" t="str">
        <x:v>20250526</x:v>
      </x:c>
      <x:c r="B71" s="2" t="str">
        <x:v>W</x:v>
      </x:c>
      <x:c r="C71" s="2" t="str">
        <x:v>85</x:v>
      </x:c>
      <x:c r="D71" s="2" t="str">
        <x:v>car</x:v>
      </x:c>
      <x:c r="E71" s="3" t="n">
        <x:v>24.057264647197535</x:v>
      </x:c>
      <x:c r="F71" s="3" t="n">
        <x:v>14.95726464719754</x:v>
      </x:c>
      <x:c r="G71" s="3" t="n">
        <x:v>14.95726464719754</x:v>
      </x:c>
      <x:c r="H71" s="3" t="n">
        <x:v>14.95726464719754</x:v>
      </x:c>
      <x:c r="I71" s="3" t="n">
        <x:f>F71-H71</x:f>
        <x:v>0</x:v>
      </x:c>
      <x:c r="J71" s="3" t="n">
        <x:f>G71-H71</x:f>
        <x:v>0</x:v>
      </x:c>
      <x:c r="K71" s="3" t="n">
        <x:f>E71-H71</x:f>
        <x:v>9.099999999999994</x:v>
      </x:c>
      <x:c r="L71" s="4" t="n">
        <x:v>1</x:v>
      </x:c>
      <x:c r="M71" s="4" t="n">
        <x:v>1</x:v>
      </x:c>
      <x:c r="N71" s="3" t="n">
        <x:f>F71-E71</x:f>
        <x:v>-9.099999999999994</x:v>
      </x:c>
      <x:c r="O71" s="3" t="n">
        <x:f>ABS(N71)</x:f>
        <x:v>9.099999999999994</x:v>
      </x:c>
      <x:c r="P71" s="3" t="n">
        <x:v>1729.3</x:v>
      </x:c>
      <x:c r="Q71" s="3" t="n">
        <x:v>16.442735352802465</x:v>
      </x:c>
      <x:c r="R71" s="3" t="n">
        <x:v>31.400000000000006</x:v>
      </x:c>
      <x:c r="S71" s="3" t="n">
        <x:v>31.400000000000006</x:v>
      </x:c>
      <x:c r="T71" s="3" t="n">
        <x:v>40.5</x:v>
      </x:c>
    </x:row>
    <x:row r="72" ht="20" customHeight="1">
      <x:c r="A72" s="2" t="str">
        <x:v>20250526</x:v>
      </x:c>
      <x:c r="B72" s="2" t="str">
        <x:v>W</x:v>
      </x:c>
      <x:c r="C72" s="2" t="str">
        <x:v>106</x:v>
      </x:c>
      <x:c r="D72" s="2" t="str">
        <x:v>car</x:v>
      </x:c>
      <x:c r="E72" s="3" t="n">
        <x:v>18.937990109501943</x:v>
      </x:c>
      <x:c r="F72" s="3" t="n">
        <x:v>9.537990109501951</x:v>
      </x:c>
      <x:c r="G72" s="3" t="n">
        <x:v>9.537990109501951</x:v>
      </x:c>
      <x:c r="H72" s="3" t="n">
        <x:v>9.537990109501951</x:v>
      </x:c>
      <x:c r="I72" s="3" t="n">
        <x:f>F72-H72</x:f>
        <x:v>0</x:v>
      </x:c>
      <x:c r="J72" s="3" t="n">
        <x:f>G72-H72</x:f>
        <x:v>0</x:v>
      </x:c>
      <x:c r="K72" s="3" t="n">
        <x:f>E72-H72</x:f>
        <x:v>9.399999999999991</x:v>
      </x:c>
      <x:c r="L72" s="4" t="n">
        <x:v>1</x:v>
      </x:c>
      <x:c r="M72" s="4" t="n">
        <x:v>1</x:v>
      </x:c>
      <x:c r="N72" s="3" t="n">
        <x:f>F72-E72</x:f>
        <x:v>-9.399999999999991</x:v>
      </x:c>
      <x:c r="O72" s="3" t="n">
        <x:f>ABS(N72)</x:f>
        <x:v>9.399999999999991</x:v>
      </x:c>
      <x:c r="P72" s="3" t="n">
        <x:v>1729.3</x:v>
      </x:c>
      <x:c r="Q72" s="3" t="n">
        <x:v>22.962009890498056</x:v>
      </x:c>
      <x:c r="R72" s="3" t="n">
        <x:v>32.50000000000001</x:v>
      </x:c>
      <x:c r="S72" s="3" t="n">
        <x:v>32.50000000000001</x:v>
      </x:c>
      <x:c r="T72" s="3" t="n">
        <x:v>41.9</x:v>
      </x:c>
    </x:row>
    <x:row r="73" ht="20" customHeight="1">
      <x:c r="A73" s="2" t="str">
        <x:v>20250526</x:v>
      </x:c>
      <x:c r="B73" s="2" t="str">
        <x:v>W</x:v>
      </x:c>
      <x:c r="C73" s="2" t="str">
        <x:v>225</x:v>
      </x:c>
      <x:c r="D73" s="2" t="str">
        <x:v>car</x:v>
      </x:c>
      <x:c r="E73" s="3" t="n">
        <x:v>92.65856715452414</x:v>
      </x:c>
      <x:c r="F73" s="3" t="n">
        <x:v>92.75856715452413</x:v>
      </x:c>
      <x:c r="G73" s="3" t="n">
        <x:v>87.97856715452413</x:v>
      </x:c>
      <x:c r="H73" s="3" t="n">
        <x:v>0</x:v>
      </x:c>
      <x:c r="I73" s="3" t="n">
        <x:f>F73-H73</x:f>
        <x:v>92.75856715452413</x:v>
      </x:c>
      <x:c r="J73" s="3" t="n">
        <x:f>G73-H73</x:f>
        <x:v>87.97856715452413</x:v>
      </x:c>
      <x:c r="K73" s="3" t="n">
        <x:f>E73-H73</x:f>
        <x:v>92.65856715452414</x:v>
      </x:c>
      <x:c r="L73" s="4" t="n">
        <x:v>1</x:v>
      </x:c>
      <x:c r="M73" s="4" t="n">
        <x:v>1</x:v>
      </x:c>
      <x:c r="N73" s="3" t="n">
        <x:f>F73-E73</x:f>
        <x:v>0.09999999999999432</x:v>
      </x:c>
      <x:c r="O73" s="3" t="n">
        <x:f>ABS(N73)</x:f>
        <x:v>0.09999999999999432</x:v>
      </x:c>
      <x:c r="P73" s="3" t="n">
        <x:v>1729.3</x:v>
      </x:c>
      <x:c r="Q73" s="3" t="n">
        <x:v>74.24143284547587</x:v>
      </x:c>
      <x:c r="R73" s="3" t="n">
        <x:v>74.24143284547587</x:v>
      </x:c>
      <x:c r="S73" s="3" t="n">
        <x:v>162.22</x:v>
      </x:c>
      <x:c r="T73" s="3" t="n">
        <x:v>166.9</x:v>
      </x:c>
    </x:row>
    <x:row r="74" ht="20" customHeight="1">
      <x:c r="A74" s="2" t="str">
        <x:v>20250526</x:v>
      </x:c>
      <x:c r="B74" s="2" t="str">
        <x:v>W</x:v>
      </x:c>
      <x:c r="C74" s="2" t="str">
        <x:v>236</x:v>
      </x:c>
      <x:c r="D74" s="2" t="str">
        <x:v>car</x:v>
      </x:c>
      <x:c r="E74" s="3" t="n">
        <x:v>91.17721316714605</x:v>
      </x:c>
      <x:c r="F74" s="3" t="n">
        <x:v>89.17721316714605</x:v>
      </x:c>
      <x:c r="G74" s="3" t="n">
        <x:v>84.39721316714605</x:v>
      </x:c>
      <x:c r="H74" s="3" t="n">
        <x:v>0</x:v>
      </x:c>
      <x:c r="I74" s="3" t="n">
        <x:f>F74-H74</x:f>
        <x:v>89.17721316714605</x:v>
      </x:c>
      <x:c r="J74" s="3" t="n">
        <x:f>G74-H74</x:f>
        <x:v>84.39721316714605</x:v>
      </x:c>
      <x:c r="K74" s="3" t="n">
        <x:f>E74-H74</x:f>
        <x:v>91.17721316714605</x:v>
      </x:c>
      <x:c r="L74" s="4" t="n">
        <x:v>1</x:v>
      </x:c>
      <x:c r="M74" s="4" t="n">
        <x:v>1</x:v>
      </x:c>
      <x:c r="N74" s="3" t="n">
        <x:f>F74-E74</x:f>
        <x:v>-2</x:v>
      </x:c>
      <x:c r="O74" s="3" t="n">
        <x:f>ABS(N74)</x:f>
        <x:v>2</x:v>
      </x:c>
      <x:c r="P74" s="3" t="n">
        <x:v>1729.3</x:v>
      </x:c>
      <x:c r="Q74" s="3" t="n">
        <x:v>78.92278683285394</x:v>
      </x:c>
      <x:c r="R74" s="3" t="n">
        <x:v>78.92278683285394</x:v>
      </x:c>
      <x:c r="S74" s="3" t="n">
        <x:v>163.32</x:v>
      </x:c>
      <x:c r="T74" s="3" t="n">
        <x:v>170.1</x:v>
      </x:c>
    </x:row>
    <x:row r="75" ht="20" customHeight="1">
      <x:c r="A75" s="2" t="str">
        <x:v>20250526</x:v>
      </x:c>
      <x:c r="B75" s="2" t="str">
        <x:v>W</x:v>
      </x:c>
      <x:c r="C75" s="2" t="str">
        <x:v>342</x:v>
      </x:c>
      <x:c r="D75" s="2" t="str">
        <x:v>car</x:v>
      </x:c>
      <x:c r="E75" s="3" t="n">
        <x:v>46.107390354299994</x:v>
      </x:c>
      <x:c r="F75" s="3" t="n">
        <x:v>45.40739035429998</x:v>
      </x:c>
      <x:c r="G75" s="3" t="n">
        <x:v>40.627390354299976</x:v>
      </x:c>
      <x:c r="H75" s="3" t="n">
        <x:v>106.0073903543</x:v>
      </x:c>
      <x:c r="I75" s="3" t="n">
        <x:f>F75-H75</x:f>
        <x:v>-60.60000000000002</x:v>
      </x:c>
      <x:c r="J75" s="3" t="n">
        <x:f>G75-H75</x:f>
        <x:v>-65.38000000000002</x:v>
      </x:c>
      <x:c r="K75" s="3" t="n">
        <x:f>E75-H75</x:f>
        <x:v>-59.900000000000006</x:v>
      </x:c>
      <x:c r="L75" s="4" t="n">
        <x:v>1</x:v>
      </x:c>
      <x:c r="M75" s="4" t="n">
        <x:v>1</x:v>
      </x:c>
      <x:c r="N75" s="3" t="n">
        <x:f>F75-E75</x:f>
        <x:v>-0.700000000000017</x:v>
      </x:c>
      <x:c r="O75" s="3" t="n">
        <x:f>ABS(N75)</x:f>
        <x:v>0.700000000000017</x:v>
      </x:c>
      <x:c r="P75" s="3" t="n">
        <x:v>1729.3</x:v>
      </x:c>
      <x:c r="Q75" s="3" t="n">
        <x:v>123.79260964570001</x:v>
      </x:c>
      <x:c r="R75" s="3" t="n">
        <x:v>229.8</x:v>
      </x:c>
      <x:c r="S75" s="3" t="n">
        <x:v>164.42</x:v>
      </x:c>
      <x:c r="T75" s="3" t="n">
        <x:v>169.9</x:v>
      </x:c>
    </x:row>
    <x:row r="76" ht="20" customHeight="1">
      <x:c r="A76" s="2" t="str">
        <x:v>20250526</x:v>
      </x:c>
      <x:c r="B76" s="2" t="str">
        <x:v>W</x:v>
      </x:c>
      <x:c r="C76" s="2" t="str">
        <x:v>357</x:v>
      </x:c>
      <x:c r="D76" s="2" t="str">
        <x:v>truck</x:v>
      </x:c>
      <x:c r="E76" s="3" t="n">
        <x:v>42.61267005260294</x:v>
      </x:c>
      <x:c r="F76" s="3" t="n">
        <x:v>40.97267005260292</x:v>
      </x:c>
      <x:c r="G76" s="3" t="n">
        <x:v>36.19267005260292</x:v>
      </x:c>
      <x:c r="H76" s="3" t="n">
        <x:v>101.57267005260294</x:v>
      </x:c>
      <x:c r="I76" s="3" t="n">
        <x:f>F76-H76</x:f>
        <x:v>-60.60000000000002</x:v>
      </x:c>
      <x:c r="J76" s="3" t="n">
        <x:f>G76-H76</x:f>
        <x:v>-65.38000000000002</x:v>
      </x:c>
      <x:c r="K76" s="3" t="n">
        <x:f>E76-H76</x:f>
        <x:v>-58.96000000000001</x:v>
      </x:c>
      <x:c r="L76" s="4" t="n">
        <x:v>1</x:v>
      </x:c>
      <x:c r="M76" s="4" t="n">
        <x:v>1</x:v>
      </x:c>
      <x:c r="N76" s="3" t="n">
        <x:f>F76-E76</x:f>
        <x:v>-1.6400000000000148</x:v>
      </x:c>
      <x:c r="O76" s="3" t="n">
        <x:f>ABS(N76)</x:f>
        <x:v>1.6400000000000148</x:v>
      </x:c>
      <x:c r="P76" s="3" t="n">
        <x:v>1729.3</x:v>
      </x:c>
      <x:c r="Q76" s="3" t="n">
        <x:v>129.98732994739706</x:v>
      </x:c>
      <x:c r="R76" s="3" t="n">
        <x:v>231.56</x:v>
      </x:c>
      <x:c r="S76" s="3" t="n">
        <x:v>166.17999999999998</x:v>
      </x:c>
      <x:c r="T76" s="3" t="n">
        <x:v>172.6</x:v>
      </x:c>
    </x:row>
    <x:row r="77" ht="20" customHeight="1">
      <x:c r="A77" s="2" t="str">
        <x:v>20250526</x:v>
      </x:c>
      <x:c r="B77" s="2" t="str">
        <x:v>W</x:v>
      </x:c>
      <x:c r="C77" s="2" t="str">
        <x:v>491</x:v>
      </x:c>
      <x:c r="D77" s="2" t="str">
        <x:v>car</x:v>
      </x:c>
      <x:c r="E77" s="3" t="n">
        <x:v>4.202165548098407</x:v>
      </x:c>
      <x:c r="F77" s="3" t="n">
        <x:v>0</x:v>
      </x:c>
      <x:c r="G77" s="3" t="n">
        <x:v>0</x:v>
      </x:c>
      <x:c r="H77" s="3" t="n">
        <x:v>59.662165548098415</x:v>
      </x:c>
      <x:c r="I77" s="3" t="n">
        <x:f>F77-H77</x:f>
        <x:v>-59.662165548098415</x:v>
      </x:c>
      <x:c r="J77" s="3" t="n">
        <x:f>G77-H77</x:f>
        <x:v>-59.662165548098415</x:v>
      </x:c>
      <x:c r="K77" s="3" t="n">
        <x:f>E77-H77</x:f>
        <x:v>-55.46000000000001</x:v>
      </x:c>
      <x:c r="L77" s="4" t="n">
        <x:v>1</x:v>
      </x:c>
      <x:c r="M77" s="4" t="n">
        <x:v>1</x:v>
      </x:c>
      <x:c r="N77" s="3" t="n">
        <x:f>F77-E77</x:f>
        <x:v>-4.202165548098407</x:v>
      </x:c>
      <x:c r="O77" s="3" t="n">
        <x:f>ABS(N77)</x:f>
        <x:v>4.202165548098407</x:v>
      </x:c>
      <x:c r="P77" s="3" t="n">
        <x:v>1729.3</x:v>
      </x:c>
      <x:c r="Q77" s="3" t="n">
        <x:v>172.99783445190158</x:v>
      </x:c>
      <x:c r="R77" s="3" t="n">
        <x:v>232.66</x:v>
      </x:c>
      <x:c r="S77" s="3" t="n">
        <x:v>172.99783445190158</x:v>
      </x:c>
      <x:c r="T77" s="3" t="n">
        <x:v>177.2</x:v>
      </x:c>
    </x:row>
    <x:row r="78" ht="20" customHeight="1">
      <x:c r="A78" s="2" t="str">
        <x:v>20250526</x:v>
      </x:c>
      <x:c r="B78" s="2" t="str">
        <x:v>W</x:v>
      </x:c>
      <x:c r="C78" s="2" t="str">
        <x:v>587</x:v>
      </x:c>
      <x:c r="D78" s="2" t="str">
        <x:v>car</x:v>
      </x:c>
      <x:c r="E78" s="3" t="n">
        <x:v>82.66693747792297</x:v>
      </x:c>
      <x:c r="F78" s="3" t="n">
        <x:v>81.96693747792298</x:v>
      </x:c>
      <x:c r="G78" s="3" t="n">
        <x:v>63.40693747792298</x:v>
      </x:c>
      <x:c r="H78" s="3" t="n">
        <x:v>6.726937477922974</x:v>
      </x:c>
      <x:c r="I78" s="3" t="n">
        <x:f>F78-H78</x:f>
        <x:v>75.24000000000001</x:v>
      </x:c>
      <x:c r="J78" s="3" t="n">
        <x:f>G78-H78</x:f>
        <x:v>56.68000000000001</x:v>
      </x:c>
      <x:c r="K78" s="3" t="n">
        <x:f>E78-H78</x:f>
        <x:v>75.94</x:v>
      </x:c>
      <x:c r="L78" s="4" t="n">
        <x:v>1</x:v>
      </x:c>
      <x:c r="M78" s="4" t="n">
        <x:v>1</x:v>
      </x:c>
      <x:c r="N78" s="3" t="n">
        <x:f>F78-E78</x:f>
        <x:v>-0.6999999999999886</x:v>
      </x:c>
      <x:c r="O78" s="3" t="n">
        <x:f>ABS(N78)</x:f>
        <x:v>0.6999999999999886</x:v>
      </x:c>
      <x:c r="P78" s="3" t="n">
        <x:v>1729.3</x:v>
      </x:c>
      <x:c r="Q78" s="3" t="n">
        <x:v>227.03306252207702</x:v>
      </x:c>
      <x:c r="R78" s="3" t="n">
        <x:v>233.76</x:v>
      </x:c>
      <x:c r="S78" s="3" t="n">
        <x:v>290.44</x:v>
      </x:c>
      <x:c r="T78" s="3" t="n">
        <x:v>309.7</x:v>
      </x:c>
    </x:row>
    <x:row r="79" ht="20" customHeight="1">
      <x:c r="A79" s="2" t="str">
        <x:v>20250526</x:v>
      </x:c>
      <x:c r="B79" s="2" t="str">
        <x:v>W</x:v>
      </x:c>
      <x:c r="C79" s="2" t="str">
        <x:v>592</x:v>
      </x:c>
      <x:c r="D79" s="2" t="str">
        <x:v>car</x:v>
      </x:c>
      <x:c r="E79" s="3" t="n">
        <x:v>80.73330679103628</x:v>
      </x:c>
      <x:c r="F79" s="3" t="n">
        <x:v>79.13330679103632</x:v>
      </x:c>
      <x:c r="G79" s="3" t="n">
        <x:v>60.573306791036316</x:v>
      </x:c>
      <x:c r="H79" s="3" t="n">
        <x:v>3.893306791036281</x:v>
      </x:c>
      <x:c r="I79" s="3" t="n">
        <x:f>F79-H79</x:f>
        <x:v>75.24000000000004</x:v>
      </x:c>
      <x:c r="J79" s="3" t="n">
        <x:f>G79-H79</x:f>
        <x:v>56.680000000000035</x:v>
      </x:c>
      <x:c r="K79" s="3" t="n">
        <x:f>E79-H79</x:f>
        <x:v>76.84</x:v>
      </x:c>
      <x:c r="L79" s="4" t="n">
        <x:v>1</x:v>
      </x:c>
      <x:c r="M79" s="4" t="n">
        <x:v>1</x:v>
      </x:c>
      <x:c r="N79" s="3" t="n">
        <x:f>F79-E79</x:f>
        <x:v>-1.599999999999966</x:v>
      </x:c>
      <x:c r="O79" s="3" t="n">
        <x:f>ABS(N79)</x:f>
        <x:v>1.599999999999966</x:v>
      </x:c>
      <x:c r="P79" s="3" t="n">
        <x:v>1729.3</x:v>
      </x:c>
      <x:c r="Q79" s="3" t="n">
        <x:v>230.9666932089637</x:v>
      </x:c>
      <x:c r="R79" s="3" t="n">
        <x:v>234.85999999999999</x:v>
      </x:c>
      <x:c r="S79" s="3" t="n">
        <x:v>291.54</x:v>
      </x:c>
      <x:c r="T79" s="3" t="n">
        <x:v>311.7</x:v>
      </x:c>
    </x:row>
    <x:row r="80" ht="20" customHeight="1">
      <x:c r="A80" s="2" t="str">
        <x:v>20250526</x:v>
      </x:c>
      <x:c r="B80" s="2" t="str">
        <x:v>W</x:v>
      </x:c>
      <x:c r="C80" s="2" t="str">
        <x:v>606</x:v>
      </x:c>
      <x:c r="D80" s="2" t="str">
        <x:v>car</x:v>
      </x:c>
      <x:c r="E80" s="3" t="n">
        <x:v>76.04406298399584</x:v>
      </x:c>
      <x:c r="F80" s="3" t="n">
        <x:v>73.0440629839959</x:v>
      </x:c>
      <x:c r="G80" s="3" t="n">
        <x:v>54.4840629839959</x:v>
      </x:c>
      <x:c r="H80" s="3" t="n">
        <x:v>0</x:v>
      </x:c>
      <x:c r="I80" s="3" t="n">
        <x:f>F80-H80</x:f>
        <x:v>73.0440629839959</x:v>
      </x:c>
      <x:c r="J80" s="3" t="n">
        <x:f>G80-H80</x:f>
        <x:v>54.4840629839959</x:v>
      </x:c>
      <x:c r="K80" s="3" t="n">
        <x:f>E80-H80</x:f>
        <x:v>76.04406298399584</x:v>
      </x:c>
      <x:c r="L80" s="4" t="n">
        <x:v>1</x:v>
      </x:c>
      <x:c r="M80" s="4" t="n">
        <x:v>1</x:v>
      </x:c>
      <x:c r="N80" s="3" t="n">
        <x:f>F80-E80</x:f>
        <x:v>-2.999999999999943</x:v>
      </x:c>
      <x:c r="O80" s="3" t="n">
        <x:f>ABS(N80)</x:f>
        <x:v>2.999999999999943</x:v>
      </x:c>
      <x:c r="P80" s="3" t="n">
        <x:v>1729.3</x:v>
      </x:c>
      <x:c r="Q80" s="3" t="n">
        <x:v>238.15593701600415</x:v>
      </x:c>
      <x:c r="R80" s="3" t="n">
        <x:v>238.15593701600415</x:v>
      </x:c>
      <x:c r="S80" s="3" t="n">
        <x:v>292.64000000000004</x:v>
      </x:c>
      <x:c r="T80" s="3" t="n">
        <x:v>314.2</x:v>
      </x:c>
    </x:row>
    <x:row r="81" ht="20" customHeight="1">
      <x:c r="A81" s="2" t="str">
        <x:v>20250526</x:v>
      </x:c>
      <x:c r="B81" s="2" t="str">
        <x:v>W</x:v>
      </x:c>
      <x:c r="C81" s="2" t="str">
        <x:v>619</x:v>
      </x:c>
      <x:c r="D81" s="2" t="str">
        <x:v>car</x:v>
      </x:c>
      <x:c r="E81" s="3" t="n">
        <x:v>74.23911792905079</x:v>
      </x:c>
      <x:c r="F81" s="3" t="n">
        <x:v>66.73911792905085</x:v>
      </x:c>
      <x:c r="G81" s="3" t="n">
        <x:v>48.17911792905085</x:v>
      </x:c>
      <x:c r="H81" s="3" t="n">
        <x:v>0</x:v>
      </x:c>
      <x:c r="I81" s="3" t="n">
        <x:f>F81-H81</x:f>
        <x:v>66.73911792905085</x:v>
      </x:c>
      <x:c r="J81" s="3" t="n">
        <x:f>G81-H81</x:f>
        <x:v>48.17911792905085</x:v>
      </x:c>
      <x:c r="K81" s="3" t="n">
        <x:f>E81-H81</x:f>
        <x:v>74.23911792905079</x:v>
      </x:c>
      <x:c r="L81" s="4" t="n">
        <x:v>1</x:v>
      </x:c>
      <x:c r="M81" s="4" t="n">
        <x:v>1</x:v>
      </x:c>
      <x:c r="N81" s="3" t="n">
        <x:f>F81-E81</x:f>
        <x:v>-7.499999999999943</x:v>
      </x:c>
      <x:c r="O81" s="3" t="n">
        <x:f>ABS(N81)</x:f>
        <x:v>7.499999999999943</x:v>
      </x:c>
      <x:c r="P81" s="3" t="n">
        <x:v>1729.3</x:v>
      </x:c>
      <x:c r="Q81" s="3" t="n">
        <x:v>245.56088207094922</x:v>
      </x:c>
      <x:c r="R81" s="3" t="n">
        <x:v>245.56088207094922</x:v>
      </x:c>
      <x:c r="S81" s="3" t="n">
        <x:v>293.74000000000007</x:v>
      </x:c>
      <x:c r="T81" s="3" t="n">
        <x:v>319.8</x:v>
      </x:c>
    </x:row>
    <x:row r="82" ht="20" customHeight="1">
      <x:c r="A82" s="2" t="str">
        <x:v>20250526</x:v>
      </x:c>
      <x:c r="B82" s="2" t="str">
        <x:v>W</x:v>
      </x:c>
      <x:c r="C82" s="2" t="str">
        <x:v>636</x:v>
      </x:c>
      <x:c r="D82" s="2" t="str">
        <x:v>car</x:v>
      </x:c>
      <x:c r="E82" s="3" t="n">
        <x:v>4.331498881431742</x:v>
      </x:c>
      <x:c r="F82" s="3" t="n">
        <x:v>0</x:v>
      </x:c>
      <x:c r="G82" s="3" t="n">
        <x:v>95.41149888143178</x:v>
      </x:c>
      <x:c r="H82" s="3" t="n">
        <x:v>46.501498881431814</x:v>
      </x:c>
      <x:c r="I82" s="3" t="n">
        <x:f>F82-H82</x:f>
        <x:v>-46.501498881431814</x:v>
      </x:c>
      <x:c r="J82" s="3" t="n">
        <x:f>G82-H82</x:f>
        <x:v>48.90999999999997</x:v>
      </x:c>
      <x:c r="K82" s="3" t="n">
        <x:f>E82-H82</x:f>
        <x:v>-42.17000000000007</x:v>
      </x:c>
      <x:c r="L82" s="4" t="n">
        <x:v>1</x:v>
      </x:c>
      <x:c r="M82" s="4" t="n">
        <x:v>1</x:v>
      </x:c>
      <x:c r="N82" s="3" t="n">
        <x:f>F82-E82</x:f>
        <x:v>-4.331498881431742</x:v>
      </x:c>
      <x:c r="O82" s="3" t="n">
        <x:f>ABS(N82)</x:f>
        <x:v>4.331498881431742</x:v>
      </x:c>
      <x:c r="P82" s="3" t="n">
        <x:v>1729.3</x:v>
      </x:c>
      <x:c r="Q82" s="3" t="n">
        <x:v>318.06850111856824</x:v>
      </x:c>
      <x:c r="R82" s="3" t="n">
        <x:v>364.57000000000005</x:v>
      </x:c>
      <x:c r="S82" s="3" t="n">
        <x:v>413.48</x:v>
      </x:c>
      <x:c r="T82" s="3" t="n">
        <x:v>322.4</x:v>
      </x:c>
    </x:row>
    <x:row r="83" ht="20" customHeight="1">
      <x:c r="A83" s="2" t="str">
        <x:v>20250526</x:v>
      </x:c>
      <x:c r="B83" s="2" t="str">
        <x:v>W</x:v>
      </x:c>
      <x:c r="C83" s="2" t="str">
        <x:v>795</x:v>
      </x:c>
      <x:c r="D83" s="2" t="str">
        <x:v>car</x:v>
      </x:c>
      <x:c r="E83" s="3" t="n">
        <x:v>1.3373322147651265</x:v>
      </x:c>
      <x:c r="F83" s="3" t="n">
        <x:v>0</x:v>
      </x:c>
      <x:c r="G83" s="3" t="n">
        <x:v>91.11733221476516</x:v>
      </x:c>
      <x:c r="H83" s="3" t="n">
        <x:v>42.20733221476519</x:v>
      </x:c>
      <x:c r="I83" s="3" t="n">
        <x:f>F83-H83</x:f>
        <x:v>-42.20733221476519</x:v>
      </x:c>
      <x:c r="J83" s="3" t="n">
        <x:f>G83-H83</x:f>
        <x:v>48.90999999999997</x:v>
      </x:c>
      <x:c r="K83" s="3" t="n">
        <x:f>E83-H83</x:f>
        <x:v>-40.87000000000006</x:v>
      </x:c>
      <x:c r="L83" s="4" t="n">
        <x:v>1</x:v>
      </x:c>
      <x:c r="M83" s="4" t="n">
        <x:v>1</x:v>
      </x:c>
      <x:c r="N83" s="3" t="n">
        <x:f>F83-E83</x:f>
        <x:v>-1.3373322147651265</x:v>
      </x:c>
      <x:c r="O83" s="3" t="n">
        <x:f>ABS(N83)</x:f>
        <x:v>1.3373322147651265</x:v>
      </x:c>
      <x:c r="P83" s="3" t="n">
        <x:v>1729.3</x:v>
      </x:c>
      <x:c r="Q83" s="3" t="n">
        <x:v>323.4626677852349</x:v>
      </x:c>
      <x:c r="R83" s="3" t="n">
        <x:v>365.6700000000001</x:v>
      </x:c>
      <x:c r="S83" s="3" t="n">
        <x:v>414.58000000000004</x:v>
      </x:c>
      <x:c r="T83" s="3" t="n">
        <x:v>324.8</x:v>
      </x:c>
    </x:row>
    <x:row r="84" ht="20" customHeight="1">
      <x:c r="A84" s="2" t="str">
        <x:v>20250526</x:v>
      </x:c>
      <x:c r="B84" s="2" t="str">
        <x:v>W</x:v>
      </x:c>
      <x:c r="C84" s="2" t="str">
        <x:v>830</x:v>
      </x:c>
      <x:c r="D84" s="2" t="str">
        <x:v>car</x:v>
      </x:c>
      <x:c r="E84" s="3" t="n">
        <x:v>105.04283221476516</x:v>
      </x:c>
      <x:c r="F84" s="3" t="n">
        <x:v>104.44283221476513</x:v>
      </x:c>
      <x:c r="G84" s="3" t="n">
        <x:v>74.32283221476524</x:v>
      </x:c>
      <x:c r="H84" s="3" t="n">
        <x:v>25.412832214765274</x:v>
      </x:c>
      <x:c r="I84" s="3" t="n">
        <x:f>F84-H84</x:f>
        <x:v>79.02999999999986</x:v>
      </x:c>
      <x:c r="J84" s="3" t="n">
        <x:f>G84-H84</x:f>
        <x:v>48.90999999999997</x:v>
      </x:c>
      <x:c r="K84" s="3" t="n">
        <x:f>E84-H84</x:f>
        <x:v>79.62999999999988</x:v>
      </x:c>
      <x:c r="L84" s="4" t="n">
        <x:v>1</x:v>
      </x:c>
      <x:c r="M84" s="4" t="n">
        <x:v>1</x:v>
      </x:c>
      <x:c r="N84" s="3" t="n">
        <x:f>F84-E84</x:f>
        <x:v>-0.6000000000000227</x:v>
      </x:c>
      <x:c r="O84" s="3" t="n">
        <x:f>ABS(N84)</x:f>
        <x:v>0.6000000000000227</x:v>
      </x:c>
      <x:c r="P84" s="3" t="n">
        <x:v>1729.3</x:v>
      </x:c>
      <x:c r="Q84" s="3" t="n">
        <x:v>343.55716778523487</x:v>
      </x:c>
      <x:c r="R84" s="3" t="n">
        <x:v>368.97000000000014</x:v>
      </x:c>
      <x:c r="S84" s="3" t="n">
        <x:v>417.8800000000001</x:v>
      </x:c>
      <x:c r="T84" s="3" t="n">
        <x:v>448.6</x:v>
      </x:c>
    </x:row>
    <x:row r="85" ht="20" customHeight="1">
      <x:c r="A85" s="2" t="str">
        <x:v>20250526</x:v>
      </x:c>
      <x:c r="B85" s="2" t="str">
        <x:v>W</x:v>
      </x:c>
      <x:c r="C85" s="2" t="str">
        <x:v>833</x:v>
      </x:c>
      <x:c r="D85" s="2" t="str">
        <x:v>car</x:v>
      </x:c>
      <x:c r="E85" s="3" t="n">
        <x:v>104.7816503965833</x:v>
      </x:c>
      <x:c r="F85" s="3" t="n">
        <x:v>101.68165039658334</x:v>
      </x:c>
      <x:c r="G85" s="3" t="n">
        <x:v>71.56165039658345</x:v>
      </x:c>
      <x:c r="H85" s="3" t="n">
        <x:v>22.651650396583477</x:v>
      </x:c>
      <x:c r="I85" s="3" t="n">
        <x:f>F85-H85</x:f>
        <x:v>79.02999999999986</x:v>
      </x:c>
      <x:c r="J85" s="3" t="n">
        <x:f>G85-H85</x:f>
        <x:v>48.90999999999997</x:v>
      </x:c>
      <x:c r="K85" s="3" t="n">
        <x:f>E85-H85</x:f>
        <x:v>82.12999999999982</x:v>
      </x:c>
      <x:c r="L85" s="4" t="n">
        <x:v>1</x:v>
      </x:c>
      <x:c r="M85" s="4" t="n">
        <x:v>1</x:v>
      </x:c>
      <x:c r="N85" s="3" t="n">
        <x:f>F85-E85</x:f>
        <x:v>-3.099999999999966</x:v>
      </x:c>
      <x:c r="O85" s="3" t="n">
        <x:f>ABS(N85)</x:f>
        <x:v>3.099999999999966</x:v>
      </x:c>
      <x:c r="P85" s="3" t="n">
        <x:v>1729.3</x:v>
      </x:c>
      <x:c r="Q85" s="3" t="n">
        <x:v>347.4183496034167</x:v>
      </x:c>
      <x:c r="R85" s="3" t="n">
        <x:v>370.07000000000016</x:v>
      </x:c>
      <x:c r="S85" s="3" t="n">
        <x:v>418.98000000000013</x:v>
      </x:c>
      <x:c r="T85" s="3" t="n">
        <x:v>452.2</x:v>
      </x:c>
    </x:row>
    <x:row r="86" ht="20" customHeight="1">
      <x:c r="A86" s="2" t="str">
        <x:v>20250526</x:v>
      </x:c>
      <x:c r="B86" s="2" t="str">
        <x:v>W</x:v>
      </x:c>
      <x:c r="C86" s="2" t="str">
        <x:v>841</x:v>
      </x:c>
      <x:c r="D86" s="2" t="str">
        <x:v>car</x:v>
      </x:c>
      <x:c r="E86" s="3" t="n">
        <x:v>94.52727123915537</x:v>
      </x:c>
      <x:c r="F86" s="3" t="n">
        <x:v>98.12727123915539</x:v>
      </x:c>
      <x:c r="G86" s="3" t="n">
        <x:v>68.0072712391555</x:v>
      </x:c>
      <x:c r="H86" s="3" t="n">
        <x:v>19.097271239155532</x:v>
      </x:c>
      <x:c r="I86" s="3" t="n">
        <x:f>F86-H86</x:f>
        <x:v>79.02999999999986</x:v>
      </x:c>
      <x:c r="J86" s="3" t="n">
        <x:f>G86-H86</x:f>
        <x:v>48.90999999999997</x:v>
      </x:c>
      <x:c r="K86" s="3" t="n">
        <x:f>E86-H86</x:f>
        <x:v>75.42999999999984</x:v>
      </x:c>
      <x:c r="L86" s="4" t="n">
        <x:v>1</x:v>
      </x:c>
      <x:c r="M86" s="4" t="n">
        <x:v>1</x:v>
      </x:c>
      <x:c r="N86" s="3" t="n">
        <x:f>F86-E86</x:f>
        <x:v>3.6000000000000227</x:v>
      </x:c>
      <x:c r="O86" s="3" t="n">
        <x:f>ABS(N86)</x:f>
        <x:v>3.6000000000000227</x:v>
      </x:c>
      <x:c r="P86" s="3" t="n">
        <x:v>1729.3</x:v>
      </x:c>
      <x:c r="Q86" s="3" t="n">
        <x:v>352.07272876084465</x:v>
      </x:c>
      <x:c r="R86" s="3" t="n">
        <x:v>371.1700000000002</x:v>
      </x:c>
      <x:c r="S86" s="3" t="n">
        <x:v>420.08000000000015</x:v>
      </x:c>
      <x:c r="T86" s="3" t="n">
        <x:v>446.6</x:v>
      </x:c>
    </x:row>
    <x:row r="87" ht="20" customHeight="1">
      <x:c r="A87" s="2" t="str">
        <x:v>20250526</x:v>
      </x:c>
      <x:c r="B87" s="2" t="str">
        <x:v>W</x:v>
      </x:c>
      <x:c r="C87" s="2" t="str">
        <x:v>853</x:v>
      </x:c>
      <x:c r="D87" s="2" t="str">
        <x:v>car</x:v>
      </x:c>
      <x:c r="E87" s="3" t="n">
        <x:v>91.15461944880764</x:v>
      </x:c>
      <x:c r="F87" s="3" t="n">
        <x:v>93.4546194488077</x:v>
      </x:c>
      <x:c r="G87" s="3" t="n">
        <x:v>63.334619448807814</x:v>
      </x:c>
      <x:c r="H87" s="3" t="n">
        <x:v>14.424619448807846</x:v>
      </x:c>
      <x:c r="I87" s="3" t="n">
        <x:f>F87-H87</x:f>
        <x:v>79.02999999999986</x:v>
      </x:c>
      <x:c r="J87" s="3" t="n">
        <x:f>G87-H87</x:f>
        <x:v>48.90999999999997</x:v>
      </x:c>
      <x:c r="K87" s="3" t="n">
        <x:f>E87-H87</x:f>
        <x:v>76.72999999999979</x:v>
      </x:c>
      <x:c r="L87" s="4" t="n">
        <x:v>1</x:v>
      </x:c>
      <x:c r="M87" s="4" t="n">
        <x:v>1</x:v>
      </x:c>
      <x:c r="N87" s="3" t="n">
        <x:f>F87-E87</x:f>
        <x:v>2.300000000000068</x:v>
      </x:c>
      <x:c r="O87" s="3" t="n">
        <x:f>ABS(N87)</x:f>
        <x:v>2.300000000000068</x:v>
      </x:c>
      <x:c r="P87" s="3" t="n">
        <x:v>1729.3</x:v>
      </x:c>
      <x:c r="Q87" s="3" t="n">
        <x:v>357.84538055119236</x:v>
      </x:c>
      <x:c r="R87" s="3" t="n">
        <x:v>372.2700000000002</x:v>
      </x:c>
      <x:c r="S87" s="3" t="n">
        <x:v>421.1800000000002</x:v>
      </x:c>
      <x:c r="T87" s="3" t="n">
        <x:v>449</x:v>
      </x:c>
    </x:row>
    <x:row r="88" ht="20" customHeight="1">
      <x:c r="A88" s="2" t="str">
        <x:v>20250526</x:v>
      </x:c>
      <x:c r="B88" s="2" t="str">
        <x:v>W</x:v>
      </x:c>
      <x:c r="C88" s="2" t="str">
        <x:v>860</x:v>
      </x:c>
      <x:c r="D88" s="2" t="str">
        <x:v>car</x:v>
      </x:c>
      <x:c r="E88" s="3" t="n">
        <x:v>95.4791800408521</x:v>
      </x:c>
      <x:c r="F88" s="3" t="n">
        <x:v>91.77918004085217</x:v>
      </x:c>
      <x:c r="G88" s="3" t="n">
        <x:v>61.65918004085228</x:v>
      </x:c>
      <x:c r="H88" s="3" t="n">
        <x:v>12.749180040852309</x:v>
      </x:c>
      <x:c r="I88" s="3" t="n">
        <x:f>F88-H88</x:f>
        <x:v>79.02999999999986</x:v>
      </x:c>
      <x:c r="J88" s="3" t="n">
        <x:f>G88-H88</x:f>
        <x:v>48.90999999999997</x:v>
      </x:c>
      <x:c r="K88" s="3" t="n">
        <x:f>E88-H88</x:f>
        <x:v>82.72999999999979</x:v>
      </x:c>
      <x:c r="L88" s="4" t="n">
        <x:v>1</x:v>
      </x:c>
      <x:c r="M88" s="4" t="n">
        <x:v>1</x:v>
      </x:c>
      <x:c r="N88" s="3" t="n">
        <x:f>F88-E88</x:f>
        <x:v>-3.699999999999932</x:v>
      </x:c>
      <x:c r="O88" s="3" t="n">
        <x:f>ABS(N88)</x:f>
        <x:v>3.699999999999932</x:v>
      </x:c>
      <x:c r="P88" s="3" t="n">
        <x:v>1729.3</x:v>
      </x:c>
      <x:c r="Q88" s="3" t="n">
        <x:v>360.6208199591479</x:v>
      </x:c>
      <x:c r="R88" s="3" t="n">
        <x:v>373.37000000000023</x:v>
      </x:c>
      <x:c r="S88" s="3" t="n">
        <x:v>422.2800000000002</x:v>
      </x:c>
      <x:c r="T88" s="3" t="n">
        <x:v>456.1</x:v>
      </x:c>
    </x:row>
    <x:row r="89" ht="20" customHeight="1">
      <x:c r="A89" s="2" t="str">
        <x:v>20250526</x:v>
      </x:c>
      <x:c r="B89" s="2" t="str">
        <x:v>W</x:v>
      </x:c>
      <x:c r="C89" s="2" t="str">
        <x:v>873</x:v>
      </x:c>
      <x:c r="D89" s="2" t="str">
        <x:v>car</x:v>
      </x:c>
      <x:c r="E89" s="3" t="n">
        <x:v>84.36292745286033</x:v>
      </x:c>
      <x:c r="F89" s="3" t="n">
        <x:v>86.66292745286046</x:v>
      </x:c>
      <x:c r="G89" s="3" t="n">
        <x:v>56.54292745286057</x:v>
      </x:c>
      <x:c r="H89" s="3" t="n">
        <x:v>7.632927452860599</x:v>
      </x:c>
      <x:c r="I89" s="3" t="n">
        <x:f>F89-H89</x:f>
        <x:v>79.02999999999986</x:v>
      </x:c>
      <x:c r="J89" s="3" t="n">
        <x:f>G89-H89</x:f>
        <x:v>48.90999999999997</x:v>
      </x:c>
      <x:c r="K89" s="3" t="n">
        <x:f>E89-H89</x:f>
        <x:v>76.72999999999973</x:v>
      </x:c>
      <x:c r="L89" s="4" t="n">
        <x:v>1</x:v>
      </x:c>
      <x:c r="M89" s="4" t="n">
        <x:v>1</x:v>
      </x:c>
      <x:c r="N89" s="3" t="n">
        <x:f>F89-E89</x:f>
        <x:v>2.300000000000125</x:v>
      </x:c>
      <x:c r="O89" s="3" t="n">
        <x:f>ABS(N89)</x:f>
        <x:v>2.300000000000125</x:v>
      </x:c>
      <x:c r="P89" s="3" t="n">
        <x:v>1729.3</x:v>
      </x:c>
      <x:c r="Q89" s="3" t="n">
        <x:v>366.83707254713966</x:v>
      </x:c>
      <x:c r="R89" s="3" t="n">
        <x:v>374.47000000000025</x:v>
      </x:c>
      <x:c r="S89" s="3" t="n">
        <x:v>423.3800000000002</x:v>
      </x:c>
      <x:c r="T89" s="3" t="n">
        <x:v>451.2</x:v>
      </x:c>
    </x:row>
    <x:row r="90" ht="20" customHeight="1">
      <x:c r="A90" s="2" t="str">
        <x:v>20250526</x:v>
      </x:c>
      <x:c r="B90" s="2" t="str">
        <x:v>W</x:v>
      </x:c>
      <x:c r="C90" s="2" t="str">
        <x:v>883</x:v>
      </x:c>
      <x:c r="D90" s="2" t="str">
        <x:v>car</x:v>
      </x:c>
      <x:c r="E90" s="3" t="n">
        <x:v>84.48768935762229</x:v>
      </x:c>
      <x:c r="F90" s="3" t="n">
        <x:v>81.38768935762243</x:v>
      </x:c>
      <x:c r="G90" s="3" t="n">
        <x:v>51.267689357622544</x:v>
      </x:c>
      <x:c r="H90" s="3" t="n">
        <x:v>2.3576893576225757</x:v>
      </x:c>
      <x:c r="I90" s="3" t="n">
        <x:f>F90-H90</x:f>
        <x:v>79.02999999999986</x:v>
      </x:c>
      <x:c r="J90" s="3" t="n">
        <x:f>G90-H90</x:f>
        <x:v>48.90999999999997</x:v>
      </x:c>
      <x:c r="K90" s="3" t="n">
        <x:f>E90-H90</x:f>
        <x:v>82.12999999999971</x:v>
      </x:c>
      <x:c r="L90" s="4" t="n">
        <x:v>1</x:v>
      </x:c>
      <x:c r="M90" s="4" t="n">
        <x:v>1</x:v>
      </x:c>
      <x:c r="N90" s="3" t="n">
        <x:f>F90-E90</x:f>
        <x:v>-3.099999999999852</x:v>
      </x:c>
      <x:c r="O90" s="3" t="n">
        <x:f>ABS(N90)</x:f>
        <x:v>3.099999999999852</x:v>
      </x:c>
      <x:c r="P90" s="3" t="n">
        <x:v>1729.3</x:v>
      </x:c>
      <x:c r="Q90" s="3" t="n">
        <x:v>373.2123106423777</x:v>
      </x:c>
      <x:c r="R90" s="3" t="n">
        <x:v>375.5700000000003</x:v>
      </x:c>
      <x:c r="S90" s="3" t="n">
        <x:v>424.48000000000025</x:v>
      </x:c>
      <x:c r="T90" s="3" t="n">
        <x:v>457.7</x:v>
      </x:c>
    </x:row>
    <x:row r="91" ht="20" customHeight="1">
      <x:c r="A91" s="2" t="str">
        <x:v>20250526</x:v>
      </x:c>
      <x:c r="B91" s="2" t="str">
        <x:v>W</x:v>
      </x:c>
      <x:c r="C91" s="2" t="str">
        <x:v>1009</x:v>
      </x:c>
      <x:c r="D91" s="2" t="str">
        <x:v>truck</x:v>
      </x:c>
      <x:c r="E91" s="3" t="n">
        <x:v>14.509967349900194</x:v>
      </x:c>
      <x:c r="F91" s="3" t="n">
        <x:v>19.069967349900367</x:v>
      </x:c>
      <x:c r="G91" s="3" t="n">
        <x:v>110.0199673499003</x:v>
      </x:c>
      <x:c r="H91" s="3" t="n">
        <x:v>0</x:v>
      </x:c>
      <x:c r="I91" s="3" t="n">
        <x:f>F91-H91</x:f>
        <x:v>19.069967349900367</x:v>
      </x:c>
      <x:c r="J91" s="3" t="n">
        <x:f>G91-H91</x:f>
        <x:v>110.0199673499003</x:v>
      </x:c>
      <x:c r="K91" s="3" t="n">
        <x:f>E91-H91</x:f>
        <x:v>14.509967349900194</x:v>
      </x:c>
      <x:c r="L91" s="4" t="n">
        <x:v>1</x:v>
      </x:c>
      <x:c r="M91" s="4" t="n">
        <x:v>1</x:v>
      </x:c>
      <x:c r="N91" s="3" t="n">
        <x:f>F91-E91</x:f>
        <x:v>4.560000000000173</x:v>
      </x:c>
      <x:c r="O91" s="3" t="n">
        <x:f>ABS(N91)</x:f>
        <x:v>4.560000000000173</x:v>
      </x:c>
      <x:c r="P91" s="3" t="n">
        <x:v>1729.3</x:v>
      </x:c>
      <x:c r="Q91" s="3" t="n">
        <x:v>438.3900326500998</x:v>
      </x:c>
      <x:c r="R91" s="3" t="n">
        <x:v>438.3900326500998</x:v>
      </x:c>
      <x:c r="S91" s="3" t="n">
        <x:v>548.4100000000001</x:v>
      </x:c>
      <x:c r="T91" s="3" t="n">
        <x:v>452.9</x:v>
      </x:c>
    </x:row>
    <x:row r="92" ht="20" customHeight="1">
      <x:c r="A92" s="2" t="str">
        <x:v>20250526</x:v>
      </x:c>
      <x:c r="B92" s="2" t="str">
        <x:v>W</x:v>
      </x:c>
      <x:c r="C92" s="2" t="str">
        <x:v>1051</x:v>
      </x:c>
      <x:c r="D92" s="2" t="str">
        <x:v>car</x:v>
      </x:c>
      <x:c r="E92" s="3" t="n">
        <x:v>3.3164988814317553</x:v>
      </x:c>
      <x:c r="F92" s="3" t="n">
        <x:v>0</x:v>
      </x:c>
      <x:c r="G92" s="3" t="n">
        <x:v>90.12649888143187</x:v>
      </x:c>
      <x:c r="H92" s="3" t="n">
        <x:v>0</x:v>
      </x:c>
      <x:c r="I92" s="3" t="n">
        <x:f>F92-H92</x:f>
        <x:v>0</x:v>
      </x:c>
      <x:c r="J92" s="3" t="n">
        <x:f>G92-H92</x:f>
        <x:v>90.12649888143187</x:v>
      </x:c>
      <x:c r="K92" s="3" t="n">
        <x:f>E92-H92</x:f>
        <x:v>3.3164988814317553</x:v>
      </x:c>
      <x:c r="L92" s="4" t="n">
        <x:v>1</x:v>
      </x:c>
      <x:c r="M92" s="4" t="n">
        <x:v>1</x:v>
      </x:c>
      <x:c r="N92" s="3" t="n">
        <x:f>F92-E92</x:f>
        <x:v>-3.3164988814317553</x:v>
      </x:c>
      <x:c r="O92" s="3" t="n">
        <x:f>ABS(N92)</x:f>
        <x:v>3.3164988814317553</x:v>
      </x:c>
      <x:c r="P92" s="3" t="n">
        <x:v>1729.3</x:v>
      </x:c>
      <x:c r="Q92" s="3" t="n">
        <x:v>459.38350111856823</x:v>
      </x:c>
      <x:c r="R92" s="3" t="n">
        <x:v>459.38350111856823</x:v>
      </x:c>
      <x:c r="S92" s="3" t="n">
        <x:v>549.5100000000001</x:v>
      </x:c>
      <x:c r="T92" s="3" t="n">
        <x:v>462.7</x:v>
      </x:c>
    </x:row>
    <x:row r="93" ht="20" customHeight="1">
      <x:c r="A93" s="2" t="str">
        <x:v>20250526</x:v>
      </x:c>
      <x:c r="B93" s="2" t="str">
        <x:v>W</x:v>
      </x:c>
      <x:c r="C93" s="2" t="str">
        <x:v>1062</x:v>
      </x:c>
      <x:c r="D93" s="2" t="str">
        <x:v>car</x:v>
      </x:c>
      <x:c r="E93" s="3" t="n">
        <x:v>1.9967620393265406</x:v>
      </x:c>
      <x:c r="F93" s="3" t="n">
        <x:v>0</x:v>
      </x:c>
      <x:c r="G93" s="3" t="n">
        <x:v>88.90676203932668</x:v>
      </x:c>
      <x:c r="H93" s="3" t="n">
        <x:v>0</x:v>
      </x:c>
      <x:c r="I93" s="3" t="n">
        <x:f>F93-H93</x:f>
        <x:v>0</x:v>
      </x:c>
      <x:c r="J93" s="3" t="n">
        <x:f>G93-H93</x:f>
        <x:v>88.90676203932668</x:v>
      </x:c>
      <x:c r="K93" s="3" t="n">
        <x:f>E93-H93</x:f>
        <x:v>1.9967620393265406</x:v>
      </x:c>
      <x:c r="L93" s="4" t="n">
        <x:v>1</x:v>
      </x:c>
      <x:c r="M93" s="4" t="n">
        <x:v>1</x:v>
      </x:c>
      <x:c r="N93" s="3" t="n">
        <x:f>F93-E93</x:f>
        <x:v>-1.9967620393265406</x:v>
      </x:c>
      <x:c r="O93" s="3" t="n">
        <x:f>ABS(N93)</x:f>
        <x:v>1.9967620393265406</x:v>
      </x:c>
      <x:c r="P93" s="3" t="n">
        <x:v>1729.3</x:v>
      </x:c>
      <x:c r="Q93" s="3" t="n">
        <x:v>461.70323796067345</x:v>
      </x:c>
      <x:c r="R93" s="3" t="n">
        <x:v>461.70323796067345</x:v>
      </x:c>
      <x:c r="S93" s="3" t="n">
        <x:v>550.6100000000001</x:v>
      </x:c>
      <x:c r="T93" s="3" t="n">
        <x:v>463.7</x:v>
      </x:c>
    </x:row>
    <x:row r="94" ht="20" customHeight="1">
      <x:c r="A94" s="2" t="str">
        <x:v>20250526</x:v>
      </x:c>
      <x:c r="B94" s="2" t="str">
        <x:v>W</x:v>
      </x:c>
      <x:c r="C94" s="2" t="str">
        <x:v>1132</x:v>
      </x:c>
      <x:c r="D94" s="2" t="str">
        <x:v>car</x:v>
      </x:c>
      <x:c r="E94" s="3" t="n">
        <x:v>90.55096857840147</x:v>
      </x:c>
      <x:c r="F94" s="3" t="n">
        <x:v>89.75096857840151</x:v>
      </x:c>
      <x:c r="G94" s="3" t="n">
        <x:v>52.46096857840166</x:v>
      </x:c>
      <x:c r="H94" s="3" t="n">
        <x:v>77.43096857840158</x:v>
      </x:c>
      <x:c r="I94" s="3" t="n">
        <x:f>F94-H94</x:f>
        <x:v>12.319999999999936</x:v>
      </x:c>
      <x:c r="J94" s="3" t="n">
        <x:f>G94-H94</x:f>
        <x:v>-24.969999999999914</x:v>
      </x:c>
      <x:c r="K94" s="3" t="n">
        <x:f>E94-H94</x:f>
        <x:v>13.11999999999989</x:v>
      </x:c>
      <x:c r="L94" s="4" t="n">
        <x:v>1</x:v>
      </x:c>
      <x:c r="M94" s="4" t="n">
        <x:v>1</x:v>
      </x:c>
      <x:c r="N94" s="3" t="n">
        <x:f>F94-E94</x:f>
        <x:v>-0.7999999999999545</x:v>
      </x:c>
      <x:c r="O94" s="3" t="n">
        <x:f>ABS(N94)</x:f>
        <x:v>0.7999999999999545</x:v>
      </x:c>
      <x:c r="P94" s="3" t="n">
        <x:v>1729.3</x:v>
      </x:c>
      <x:c r="Q94" s="3" t="n">
        <x:v>499.2490314215985</x:v>
      </x:c>
      <x:c r="R94" s="3" t="n">
        <x:v>576.6800000000001</x:v>
      </x:c>
      <x:c r="S94" s="3" t="n">
        <x:v>551.7100000000002</x:v>
      </x:c>
      <x:c r="T94" s="3" t="n">
        <x:v>589.8</x:v>
      </x:c>
    </x:row>
    <x:row r="95" ht="20" customHeight="1">
      <x:c r="A95" s="2" t="str">
        <x:v>20250526</x:v>
      </x:c>
      <x:c r="B95" s="2" t="str">
        <x:v>W</x:v>
      </x:c>
      <x:c r="C95" s="2" t="str">
        <x:v>1137</x:v>
      </x:c>
      <x:c r="D95" s="2" t="str">
        <x:v>car</x:v>
      </x:c>
      <x:c r="E95" s="3" t="n">
        <x:v>83.74128791096769</x:v>
      </x:c>
      <x:c r="F95" s="3" t="n">
        <x:v>87.14128791096766</x:v>
      </x:c>
      <x:c r="G95" s="3" t="n">
        <x:v>49.85128791096781</x:v>
      </x:c>
      <x:c r="H95" s="3" t="n">
        <x:v>74.82128791096773</x:v>
      </x:c>
      <x:c r="I95" s="3" t="n">
        <x:f>F95-H95</x:f>
        <x:v>12.319999999999936</x:v>
      </x:c>
      <x:c r="J95" s="3" t="n">
        <x:f>G95-H95</x:f>
        <x:v>-24.969999999999914</x:v>
      </x:c>
      <x:c r="K95" s="3" t="n">
        <x:f>E95-H95</x:f>
        <x:v>8.919999999999959</x:v>
      </x:c>
      <x:c r="L95" s="4" t="n">
        <x:v>1</x:v>
      </x:c>
      <x:c r="M95" s="4" t="n">
        <x:v>1</x:v>
      </x:c>
      <x:c r="N95" s="3" t="n">
        <x:f>F95-E95</x:f>
        <x:v>3.3999999999999773</x:v>
      </x:c>
      <x:c r="O95" s="3" t="n">
        <x:f>ABS(N95)</x:f>
        <x:v>3.3999999999999773</x:v>
      </x:c>
      <x:c r="P95" s="3" t="n">
        <x:v>1729.3</x:v>
      </x:c>
      <x:c r="Q95" s="3" t="n">
        <x:v>502.95871208903236</x:v>
      </x:c>
      <x:c r="R95" s="3" t="n">
        <x:v>577.7800000000001</x:v>
      </x:c>
      <x:c r="S95" s="3" t="n">
        <x:v>552.8100000000002</x:v>
      </x:c>
      <x:c r="T95" s="3" t="n">
        <x:v>586.7</x:v>
      </x:c>
    </x:row>
    <x:row r="96" ht="20" customHeight="1">
      <x:c r="A96" s="2" t="str">
        <x:v>20250526</x:v>
      </x:c>
      <x:c r="B96" s="2" t="str">
        <x:v>W</x:v>
      </x:c>
      <x:c r="C96" s="2" t="str">
        <x:v>1194</x:v>
      </x:c>
      <x:c r="D96" s="2" t="str">
        <x:v>car</x:v>
      </x:c>
      <x:c r="E96" s="3" t="n">
        <x:v>56.14358221476505</x:v>
      </x:c>
      <x:c r="F96" s="3" t="n">
        <x:v>54.04358221476514</x:v>
      </x:c>
      <x:c r="G96" s="3" t="n">
        <x:v>16.753582214765288</x:v>
      </x:c>
      <x:c r="H96" s="3" t="n">
        <x:v>41.7235822147652</x:v>
      </x:c>
      <x:c r="I96" s="3" t="n">
        <x:f>F96-H96</x:f>
        <x:v>12.319999999999936</x:v>
      </x:c>
      <x:c r="J96" s="3" t="n">
        <x:f>G96-H96</x:f>
        <x:v>-24.969999999999914</x:v>
      </x:c>
      <x:c r="K96" s="3" t="n">
        <x:f>E96-H96</x:f>
        <x:v>14.419999999999845</x:v>
      </x:c>
      <x:c r="L96" s="4" t="n">
        <x:v>1</x:v>
      </x:c>
      <x:c r="M96" s="4" t="n">
        <x:v>1</x:v>
      </x:c>
      <x:c r="N96" s="3" t="n">
        <x:f>F96-E96</x:f>
        <x:v>-2.099999999999909</x:v>
      </x:c>
      <x:c r="O96" s="3" t="n">
        <x:f>ABS(N96)</x:f>
        <x:v>2.099999999999909</x:v>
      </x:c>
      <x:c r="P96" s="3" t="n">
        <x:v>1729.3</x:v>
      </x:c>
      <x:c r="Q96" s="3" t="n">
        <x:v>537.1564177852349</x:v>
      </x:c>
      <x:c r="R96" s="3" t="n">
        <x:v>578.8800000000001</x:v>
      </x:c>
      <x:c r="S96" s="3" t="n">
        <x:v>553.9100000000002</x:v>
      </x:c>
      <x:c r="T96" s="3" t="n">
        <x:v>593.3</x:v>
      </x:c>
    </x:row>
    <x:row r="97" ht="20" customHeight="1">
      <x:c r="A97" s="2" t="str">
        <x:v>20250526</x:v>
      </x:c>
      <x:c r="B97" s="2" t="str">
        <x:v>W</x:v>
      </x:c>
      <x:c r="C97" s="2" t="str">
        <x:v>1199</x:v>
      </x:c>
      <x:c r="D97" s="2" t="str">
        <x:v>car</x:v>
      </x:c>
      <x:c r="E97" s="3" t="n">
        <x:v>48.91693747792306</x:v>
      </x:c>
      <x:c r="F97" s="3" t="n">
        <x:v>51.216937477923125</x:v>
      </x:c>
      <x:c r="G97" s="3" t="n">
        <x:v>13.926937477923275</x:v>
      </x:c>
      <x:c r="H97" s="3" t="n">
        <x:v>38.89693747792319</x:v>
      </x:c>
      <x:c r="I97" s="3" t="n">
        <x:f>F97-H97</x:f>
        <x:v>12.319999999999936</x:v>
      </x:c>
      <x:c r="J97" s="3" t="n">
        <x:f>G97-H97</x:f>
        <x:v>-24.969999999999914</x:v>
      </x:c>
      <x:c r="K97" s="3" t="n">
        <x:f>E97-H97</x:f>
        <x:v>10.019999999999868</x:v>
      </x:c>
      <x:c r="L97" s="4" t="n">
        <x:v>1</x:v>
      </x:c>
      <x:c r="M97" s="4" t="n">
        <x:v>1</x:v>
      </x:c>
      <x:c r="N97" s="3" t="n">
        <x:f>F97-E97</x:f>
        <x:v>2.300000000000068</x:v>
      </x:c>
      <x:c r="O97" s="3" t="n">
        <x:f>ABS(N97)</x:f>
        <x:v>2.300000000000068</x:v>
      </x:c>
      <x:c r="P97" s="3" t="n">
        <x:v>1729.3</x:v>
      </x:c>
      <x:c r="Q97" s="3" t="n">
        <x:v>541.083062522077</x:v>
      </x:c>
      <x:c r="R97" s="3" t="n">
        <x:v>579.9800000000001</x:v>
      </x:c>
      <x:c r="S97" s="3" t="n">
        <x:v>555.0100000000002</x:v>
      </x:c>
      <x:c r="T97" s="3" t="n">
        <x:v>590</x:v>
      </x:c>
    </x:row>
    <x:row r="98" ht="20" customHeight="1">
      <x:c r="A98" s="2" t="str">
        <x:v>20250526</x:v>
      </x:c>
      <x:c r="B98" s="2" t="str">
        <x:v>W</x:v>
      </x:c>
      <x:c r="C98" s="2" t="str">
        <x:v>1392</x:v>
      </x:c>
      <x:c r="D98" s="2" t="str">
        <x:v>car</x:v>
      </x:c>
      <x:c r="E98" s="3" t="n">
        <x:v>85.67265830172164</x:v>
      </x:c>
      <x:c r="F98" s="3" t="n">
        <x:v>85.9726583017216</x:v>
      </x:c>
      <x:c r="G98" s="3" t="n">
        <x:v>38.82265830172173</x:v>
      </x:c>
      <x:c r="H98" s="3" t="n">
        <x:v>77.73265830172159</x:v>
      </x:c>
      <x:c r="I98" s="3" t="n">
        <x:f>F98-H98</x:f>
        <x:v>8.240000000000009</x:v>
      </x:c>
      <x:c r="J98" s="3" t="n">
        <x:f>G98-H98</x:f>
        <x:v>-38.909999999999854</x:v>
      </x:c>
      <x:c r="K98" s="3" t="n">
        <x:f>E98-H98</x:f>
        <x:v>7.940000000000055</x:v>
      </x:c>
      <x:c r="L98" s="4" t="n">
        <x:v>1</x:v>
      </x:c>
      <x:c r="M98" s="4" t="n">
        <x:v>1</x:v>
      </x:c>
      <x:c r="N98" s="3" t="n">
        <x:f>F98-E98</x:f>
        <x:v>0.2999999999999545</x:v>
      </x:c>
      <x:c r="O98" s="3" t="n">
        <x:f>ABS(N98)</x:f>
        <x:v>0.2999999999999545</x:v>
      </x:c>
      <x:c r="P98" s="3" t="n">
        <x:v>1729.3</x:v>
      </x:c>
      <x:c r="Q98" s="3" t="n">
        <x:v>643.0273416982784</x:v>
      </x:c>
      <x:c r="R98" s="3" t="n">
        <x:v>720.76</x:v>
      </x:c>
      <x:c r="S98" s="3" t="n">
        <x:v>681.8500000000001</x:v>
      </x:c>
      <x:c r="T98" s="3" t="n">
        <x:v>728.7</x:v>
      </x:c>
    </x:row>
    <x:row r="99" ht="20" customHeight="1">
      <x:c r="A99" s="2" t="str">
        <x:v>20250526</x:v>
      </x:c>
      <x:c r="B99" s="2" t="str">
        <x:v>W</x:v>
      </x:c>
      <x:c r="C99" s="2" t="str">
        <x:v>1403</x:v>
      </x:c>
      <x:c r="D99" s="2" t="str">
        <x:v>car</x:v>
      </x:c>
      <x:c r="E99" s="3" t="n">
        <x:v>76.09816554809845</x:v>
      </x:c>
      <x:c r="F99" s="3" t="n">
        <x:v>78.09816554809845</x:v>
      </x:c>
      <x:c r="G99" s="3" t="n">
        <x:v>30.948165548098586</x:v>
      </x:c>
      <x:c r="H99" s="3" t="n">
        <x:v>69.85816554809844</x:v>
      </x:c>
      <x:c r="I99" s="3" t="n">
        <x:f>F99-H99</x:f>
        <x:v>8.240000000000009</x:v>
      </x:c>
      <x:c r="J99" s="3" t="n">
        <x:f>G99-H99</x:f>
        <x:v>-38.909999999999854</x:v>
      </x:c>
      <x:c r="K99" s="3" t="n">
        <x:f>E99-H99</x:f>
        <x:v>6.240000000000009</x:v>
      </x:c>
      <x:c r="L99" s="4" t="n">
        <x:v>1</x:v>
      </x:c>
      <x:c r="M99" s="4" t="n">
        <x:v>1</x:v>
      </x:c>
      <x:c r="N99" s="3" t="n">
        <x:f>F99-E99</x:f>
        <x:v>2</x:v>
      </x:c>
      <x:c r="O99" s="3" t="n">
        <x:f>ABS(N99)</x:f>
        <x:v>2</x:v>
      </x:c>
      <x:c r="P99" s="3" t="n">
        <x:v>1729.3</x:v>
      </x:c>
      <x:c r="Q99" s="3" t="n">
        <x:v>652.0018344519016</x:v>
      </x:c>
      <x:c r="R99" s="3" t="n">
        <x:v>721.86</x:v>
      </x:c>
      <x:c r="S99" s="3" t="n">
        <x:v>682.9500000000002</x:v>
      </x:c>
      <x:c r="T99" s="3" t="n">
        <x:v>728.1</x:v>
      </x:c>
    </x:row>
    <x:row r="100" ht="20" customHeight="1">
      <x:c r="A100" s="2" t="str">
        <x:v>20250526</x:v>
      </x:c>
      <x:c r="B100" s="2" t="str">
        <x:v>W</x:v>
      </x:c>
      <x:c r="C100" s="2" t="str">
        <x:v>1833</x:v>
      </x:c>
      <x:c r="D100" s="2" t="str">
        <x:v>car</x:v>
      </x:c>
      <x:c r="E100" s="3" t="n">
        <x:v>43.30175529168821</x:v>
      </x:c>
      <x:c r="F100" s="3" t="n">
        <x:v>41.40175529168823</x:v>
      </x:c>
      <x:c r="G100" s="3" t="n">
        <x:v>109.06175529168831</x:v>
      </x:c>
      <x:c r="H100" s="3" t="n">
        <x:v>34.61175529168827</x:v>
      </x:c>
      <x:c r="I100" s="3" t="n">
        <x:f>F100-H100</x:f>
        <x:v>6.789999999999964</x:v>
      </x:c>
      <x:c r="J100" s="3" t="n">
        <x:f>G100-H100</x:f>
        <x:v>74.45000000000005</x:v>
      </x:c>
      <x:c r="K100" s="3" t="n">
        <x:f>E100-H100</x:f>
        <x:v>8.68999999999994</x:v>
      </x:c>
      <x:c r="L100" s="4" t="n">
        <x:v>1</x:v>
      </x:c>
      <x:c r="M100" s="4" t="n">
        <x:v>1</x:v>
      </x:c>
      <x:c r="N100" s="3" t="n">
        <x:f>F100-E100</x:f>
        <x:v>-1.8999999999999773</x:v>
      </x:c>
      <x:c r="O100" s="3" t="n">
        <x:f>ABS(N100)</x:f>
        <x:v>1.8999999999999773</x:v>
      </x:c>
      <x:c r="P100" s="3" t="n">
        <x:v>1729.3</x:v>
      </x:c>
      <x:c r="Q100" s="3" t="n">
        <x:v>826.5982447083118</x:v>
      </x:c>
      <x:c r="R100" s="3" t="n">
        <x:v>861.21</x:v>
      </x:c>
      <x:c r="S100" s="3" t="n">
        <x:v>935.6600000000001</x:v>
      </x:c>
      <x:c r="T100" s="3" t="n">
        <x:v>869.9</x:v>
      </x:c>
    </x:row>
    <x:row r="101" ht="20" customHeight="1">
      <x:c r="A101" s="2" t="str">
        <x:v>20250526</x:v>
      </x:c>
      <x:c r="B101" s="2" t="str">
        <x:v>W</x:v>
      </x:c>
      <x:c r="C101" s="2" t="str">
        <x:v>1894</x:v>
      </x:c>
      <x:c r="D101" s="2" t="str">
        <x:v>car</x:v>
      </x:c>
      <x:c r="E101" s="3" t="n">
        <x:v>22.3300046285583</x:v>
      </x:c>
      <x:c r="F101" s="3" t="n">
        <x:v>18.730004628558277</x:v>
      </x:c>
      <x:c r="G101" s="3" t="n">
        <x:v>86.39000462855836</x:v>
      </x:c>
      <x:c r="H101" s="3" t="n">
        <x:v>11.940004628558313</x:v>
      </x:c>
      <x:c r="I101" s="3" t="n">
        <x:f>F101-H101</x:f>
        <x:v>6.789999999999964</x:v>
      </x:c>
      <x:c r="J101" s="3" t="n">
        <x:f>G101-H101</x:f>
        <x:v>74.45000000000005</x:v>
      </x:c>
      <x:c r="K101" s="3" t="n">
        <x:f>E101-H101</x:f>
        <x:v>10.389999999999986</x:v>
      </x:c>
      <x:c r="L101" s="4" t="n">
        <x:v>1</x:v>
      </x:c>
      <x:c r="M101" s="4" t="n">
        <x:v>1</x:v>
      </x:c>
      <x:c r="N101" s="3" t="n">
        <x:f>F101-E101</x:f>
        <x:v>-3.6000000000000227</x:v>
      </x:c>
      <x:c r="O101" s="3" t="n">
        <x:f>ABS(N101)</x:f>
        <x:v>3.6000000000000227</x:v>
      </x:c>
      <x:c r="P101" s="3" t="n">
        <x:v>1729.3</x:v>
      </x:c>
      <x:c r="Q101" s="3" t="n">
        <x:v>850.3699953714417</x:v>
      </x:c>
      <x:c r="R101" s="3" t="n">
        <x:v>862.3100000000001</x:v>
      </x:c>
      <x:c r="S101" s="3" t="n">
        <x:v>936.7600000000001</x:v>
      </x:c>
      <x:c r="T101" s="3" t="n">
        <x:v>872.7</x:v>
      </x:c>
    </x:row>
    <x:row r="102" ht="20" customHeight="1">
      <x:c r="A102" s="2" t="str">
        <x:v>20250526</x:v>
      </x:c>
      <x:c r="B102" s="2" t="str">
        <x:v>W</x:v>
      </x:c>
      <x:c r="C102" s="2" t="str">
        <x:v>1905</x:v>
      </x:c>
      <x:c r="D102" s="2" t="str">
        <x:v>car</x:v>
      </x:c>
      <x:c r="E102" s="3" t="n">
        <x:v>14.795846707518649</x:v>
      </x:c>
      <x:c r="F102" s="3" t="n">
        <x:v>16.19584670751874</x:v>
      </x:c>
      <x:c r="G102" s="3" t="n">
        <x:v>83.85584670751882</x:v>
      </x:c>
      <x:c r="H102" s="3" t="n">
        <x:v>9.405846707518776</x:v>
      </x:c>
      <x:c r="I102" s="3" t="n">
        <x:f>F102-H102</x:f>
        <x:v>6.789999999999964</x:v>
      </x:c>
      <x:c r="J102" s="3" t="n">
        <x:f>G102-H102</x:f>
        <x:v>74.45000000000005</x:v>
      </x:c>
      <x:c r="K102" s="3" t="n">
        <x:f>E102-H102</x:f>
        <x:v>5.389999999999873</x:v>
      </x:c>
      <x:c r="L102" s="4" t="n">
        <x:v>1</x:v>
      </x:c>
      <x:c r="M102" s="4" t="n">
        <x:v>1</x:v>
      </x:c>
      <x:c r="N102" s="3" t="n">
        <x:f>F102-E102</x:f>
        <x:v>1.400000000000091</x:v>
      </x:c>
      <x:c r="O102" s="3" t="n">
        <x:f>ABS(N102)</x:f>
        <x:v>1.400000000000091</x:v>
      </x:c>
      <x:c r="P102" s="3" t="n">
        <x:v>1729.3</x:v>
      </x:c>
      <x:c r="Q102" s="3" t="n">
        <x:v>854.0041532924813</x:v>
      </x:c>
      <x:c r="R102" s="3" t="n">
        <x:v>863.4100000000001</x:v>
      </x:c>
      <x:c r="S102" s="3" t="n">
        <x:v>937.8600000000001</x:v>
      </x:c>
      <x:c r="T102" s="3" t="n">
        <x:v>868.8</x:v>
      </x:c>
    </x:row>
    <x:row r="103" ht="20" customHeight="1">
      <x:c r="A103" s="2" t="str">
        <x:v>20250526</x:v>
      </x:c>
      <x:c r="B103" s="2" t="str">
        <x:v>W</x:v>
      </x:c>
      <x:c r="C103" s="2" t="str">
        <x:v>2063</x:v>
      </x:c>
      <x:c r="D103" s="2" t="str">
        <x:v>car</x:v>
      </x:c>
      <x:c r="E103" s="3" t="n">
        <x:v>87.12660212626963</x:v>
      </x:c>
      <x:c r="F103" s="3" t="n">
        <x:v>85.42660212626959</x:v>
      </x:c>
      <x:c r="G103" s="3" t="n">
        <x:v>15.386602126269736</x:v>
      </x:c>
      <x:c r="H103" s="3" t="n">
        <x:v>94.36660212626964</x:v>
      </x:c>
      <x:c r="I103" s="3" t="n">
        <x:f>F103-H103</x:f>
        <x:v>-8.940000000000055</x:v>
      </x:c>
      <x:c r="J103" s="3" t="n">
        <x:f>G103-H103</x:f>
        <x:v>-78.9799999999999</x:v>
      </x:c>
      <x:c r="K103" s="3" t="n">
        <x:f>E103-H103</x:f>
        <x:v>-7.240000000000009</x:v>
      </x:c>
      <x:c r="L103" s="4" t="n">
        <x:v>1</x:v>
      </x:c>
      <x:c r="M103" s="4" t="n">
        <x:v>1</x:v>
      </x:c>
      <x:c r="N103" s="3" t="n">
        <x:f>F103-E103</x:f>
        <x:v>-1.7000000000000455</x:v>
      </x:c>
      <x:c r="O103" s="3" t="n">
        <x:f>ABS(N103)</x:f>
        <x:v>1.7000000000000455</x:v>
      </x:c>
      <x:c r="P103" s="3" t="n">
        <x:v>1729.3</x:v>
      </x:c>
      <x:c r="Q103" s="3" t="n">
        <x:v>923.5733978737304</x:v>
      </x:c>
      <x:c r="R103" s="3" t="n">
        <x:v>1017.94</x:v>
      </x:c>
      <x:c r="S103" s="3" t="n">
        <x:v>938.9600000000002</x:v>
      </x:c>
      <x:c r="T103" s="3" t="n">
        <x:v>1010.7</x:v>
      </x:c>
    </x:row>
    <x:row r="104" ht="20" customHeight="1">
      <x:c r="A104" s="2" t="str">
        <x:v>20250526</x:v>
      </x:c>
      <x:c r="B104" s="2" t="str">
        <x:v>W</x:v>
      </x:c>
      <x:c r="C104" s="2" t="str">
        <x:v>2070</x:v>
      </x:c>
      <x:c r="D104" s="2" t="str">
        <x:v>car</x:v>
      </x:c>
      <x:c r="E104" s="3" t="n">
        <x:v>87.14271839362698</x:v>
      </x:c>
      <x:c r="F104" s="3" t="n">
        <x:v>83.54271839362696</x:v>
      </x:c>
      <x:c r="G104" s="3" t="n">
        <x:v>13.502718393627106</x:v>
      </x:c>
      <x:c r="H104" s="3" t="n">
        <x:v>92.48271839362701</x:v>
      </x:c>
      <x:c r="I104" s="3" t="n">
        <x:f>F104-H104</x:f>
        <x:v>-8.940000000000055</x:v>
      </x:c>
      <x:c r="J104" s="3" t="n">
        <x:f>G104-H104</x:f>
        <x:v>-78.9799999999999</x:v>
      </x:c>
      <x:c r="K104" s="3" t="n">
        <x:f>E104-H104</x:f>
        <x:v>-5.340000000000032</x:v>
      </x:c>
      <x:c r="L104" s="4" t="n">
        <x:v>1</x:v>
      </x:c>
      <x:c r="M104" s="4" t="n">
        <x:v>1</x:v>
      </x:c>
      <x:c r="N104" s="3" t="n">
        <x:f>F104-E104</x:f>
        <x:v>-3.6000000000000227</x:v>
      </x:c>
      <x:c r="O104" s="3" t="n">
        <x:f>ABS(N104)</x:f>
        <x:v>3.6000000000000227</x:v>
      </x:c>
      <x:c r="P104" s="3" t="n">
        <x:v>1729.3</x:v>
      </x:c>
      <x:c r="Q104" s="3" t="n">
        <x:v>926.5572816063731</x:v>
      </x:c>
      <x:c r="R104" s="3" t="n">
        <x:v>1019.0400000000001</x:v>
      </x:c>
      <x:c r="S104" s="3" t="n">
        <x:v>940.0600000000002</x:v>
      </x:c>
      <x:c r="T104" s="3" t="n">
        <x:v>1013.7</x:v>
      </x:c>
    </x:row>
    <x:row r="105" ht="20" customHeight="1">
      <x:c r="A105" s="2" t="str">
        <x:v>20250526</x:v>
      </x:c>
      <x:c r="B105" s="2" t="str">
        <x:v>W</x:v>
      </x:c>
      <x:c r="C105" s="2" t="str">
        <x:v>2102</x:v>
      </x:c>
      <x:c r="D105" s="2" t="str">
        <x:v>car</x:v>
      </x:c>
      <x:c r="E105" s="3" t="n">
        <x:v>79.14483221476507</x:v>
      </x:c>
      <x:c r="F105" s="3" t="n">
        <x:v>71.7448322147651</x:v>
      </x:c>
      <x:c r="G105" s="3" t="n">
        <x:v>1.704832214765247</x:v>
      </x:c>
      <x:c r="H105" s="3" t="n">
        <x:v>80.68483221476515</x:v>
      </x:c>
      <x:c r="I105" s="3" t="n">
        <x:f>F105-H105</x:f>
        <x:v>-8.940000000000055</x:v>
      </x:c>
      <x:c r="J105" s="3" t="n">
        <x:f>G105-H105</x:f>
        <x:v>-78.9799999999999</x:v>
      </x:c>
      <x:c r="K105" s="3" t="n">
        <x:f>E105-H105</x:f>
        <x:v>-1.5400000000000773</x:v>
      </x:c>
      <x:c r="L105" s="4" t="n">
        <x:v>1</x:v>
      </x:c>
      <x:c r="M105" s="4" t="n">
        <x:v>1</x:v>
      </x:c>
      <x:c r="N105" s="3" t="n">
        <x:f>F105-E105</x:f>
        <x:v>-7.399999999999977</x:v>
      </x:c>
      <x:c r="O105" s="3" t="n">
        <x:f>ABS(N105)</x:f>
        <x:v>7.399999999999977</x:v>
      </x:c>
      <x:c r="P105" s="3" t="n">
        <x:v>1729.3</x:v>
      </x:c>
      <x:c r="Q105" s="3" t="n">
        <x:v>939.455167785235</x:v>
      </x:c>
      <x:c r="R105" s="3" t="n">
        <x:v>1020.1400000000001</x:v>
      </x:c>
      <x:c r="S105" s="3" t="n">
        <x:v>941.1600000000002</x:v>
      </x:c>
      <x:c r="T105" s="3" t="n">
        <x:v>1018.6</x:v>
      </x:c>
    </x:row>
    <x:row r="106" ht="20" customHeight="1">
      <x:c r="A106" s="2" t="str">
        <x:v>20250526</x:v>
      </x:c>
      <x:c r="B106" s="2" t="str">
        <x:v>W</x:v>
      </x:c>
      <x:c r="C106" s="2" t="str">
        <x:v>2122</x:v>
      </x:c>
      <x:c r="D106" s="2" t="str">
        <x:v>car</x:v>
      </x:c>
      <x:c r="E106" s="3" t="n">
        <x:v>67.33141116213358</x:v>
      </x:c>
      <x:c r="F106" s="3" t="n">
        <x:v>67.73141116213367</x:v>
      </x:c>
      <x:c r="G106" s="3" t="n">
        <x:v>0</x:v>
      </x:c>
      <x:c r="H106" s="3" t="n">
        <x:v>76.67141116213372</x:v>
      </x:c>
      <x:c r="I106" s="3" t="n">
        <x:f>F106-H106</x:f>
        <x:v>-8.940000000000055</x:v>
      </x:c>
      <x:c r="J106" s="3" t="n">
        <x:f>G106-H106</x:f>
        <x:v>-76.67141116213372</x:v>
      </x:c>
      <x:c r="K106" s="3" t="n">
        <x:f>E106-H106</x:f>
        <x:v>-9.340000000000146</x:v>
      </x:c>
      <x:c r="L106" s="4" t="n">
        <x:v>1</x:v>
      </x:c>
      <x:c r="M106" s="4" t="n">
        <x:v>1</x:v>
      </x:c>
      <x:c r="N106" s="3" t="n">
        <x:f>F106-E106</x:f>
        <x:v>0.40000000000009095</x:v>
      </x:c>
      <x:c r="O106" s="3" t="n">
        <x:f>ABS(N106)</x:f>
        <x:v>0.40000000000009095</x:v>
      </x:c>
      <x:c r="P106" s="3" t="n">
        <x:v>1729.3</x:v>
      </x:c>
      <x:c r="Q106" s="3" t="n">
        <x:v>944.5685888378664</x:v>
      </x:c>
      <x:c r="R106" s="3" t="n">
        <x:v>1021.2400000000001</x:v>
      </x:c>
      <x:c r="S106" s="3" t="n">
        <x:v>944.5685888378664</x:v>
      </x:c>
      <x:c r="T106" s="3" t="n">
        <x:v>1011.9</x:v>
      </x:c>
    </x:row>
    <x:row r="107" ht="20" customHeight="1">
      <x:c r="A107" s="2" t="str">
        <x:v>20250526</x:v>
      </x:c>
      <x:c r="B107" s="2" t="str">
        <x:v>W</x:v>
      </x:c>
      <x:c r="C107" s="2" t="str">
        <x:v>2129</x:v>
      </x:c>
      <x:c r="D107" s="2" t="str">
        <x:v>car</x:v>
      </x:c>
      <x:c r="E107" s="3" t="n">
        <x:v>67.02155352624061</x:v>
      </x:c>
      <x:c r="F107" s="3" t="n">
        <x:v>65.72155352624065</x:v>
      </x:c>
      <x:c r="G107" s="3" t="n">
        <x:v>112.85155352624076</x:v>
      </x:c>
      <x:c r="H107" s="3" t="n">
        <x:v>74.66155352624071</x:v>
      </x:c>
      <x:c r="I107" s="3" t="n">
        <x:f>F107-H107</x:f>
        <x:v>-8.940000000000055</x:v>
      </x:c>
      <x:c r="J107" s="3" t="n">
        <x:f>G107-H107</x:f>
        <x:v>38.190000000000055</x:v>
      </x:c>
      <x:c r="K107" s="3" t="n">
        <x:f>E107-H107</x:f>
        <x:v>-7.6400000000001</x:v>
      </x:c>
      <x:c r="L107" s="4" t="n">
        <x:v>1</x:v>
      </x:c>
      <x:c r="M107" s="4" t="n">
        <x:v>1</x:v>
      </x:c>
      <x:c r="N107" s="3" t="n">
        <x:f>F107-E107</x:f>
        <x:v>-1.2999999999999545</x:v>
      </x:c>
      <x:c r="O107" s="3" t="n">
        <x:f>ABS(N107)</x:f>
        <x:v>1.2999999999999545</x:v>
      </x:c>
      <x:c r="P107" s="3" t="n">
        <x:v>1729.3</x:v>
      </x:c>
      <x:c r="Q107" s="3" t="n">
        <x:v>947.6784464737594</x:v>
      </x:c>
      <x:c r="R107" s="3" t="n">
        <x:v>1022.3400000000001</x:v>
      </x:c>
      <x:c r="S107" s="3" t="n">
        <x:v>1060.5300000000002</x:v>
      </x:c>
      <x:c r="T107" s="3" t="n">
        <x:v>1014.7</x:v>
      </x:c>
    </x:row>
    <x:row r="108" ht="20" customHeight="1">
      <x:c r="A108" s="2" t="str">
        <x:v>20250526</x:v>
      </x:c>
      <x:c r="B108" s="2" t="str">
        <x:v>W</x:v>
      </x:c>
      <x:c r="C108" s="2" t="str">
        <x:v>2136</x:v>
      </x:c>
      <x:c r="D108" s="2" t="str">
        <x:v>car</x:v>
      </x:c>
      <x:c r="E108" s="3" t="n">
        <x:v>69.10183221476507</x:v>
      </x:c>
      <x:c r="F108" s="3" t="n">
        <x:v>62.50183221476516</x:v>
      </x:c>
      <x:c r="G108" s="3" t="n">
        <x:v>109.63183221476515</x:v>
      </x:c>
      <x:c r="H108" s="3" t="n">
        <x:v>71.44183221476521</x:v>
      </x:c>
      <x:c r="I108" s="3" t="n">
        <x:f>F108-H108</x:f>
        <x:v>-8.940000000000055</x:v>
      </x:c>
      <x:c r="J108" s="3" t="n">
        <x:f>G108-H108</x:f>
        <x:v>38.18999999999994</x:v>
      </x:c>
      <x:c r="K108" s="3" t="n">
        <x:f>E108-H108</x:f>
        <x:v>-2.3400000000001455</x:v>
      </x:c>
      <x:c r="L108" s="4" t="n">
        <x:v>1</x:v>
      </x:c>
      <x:c r="M108" s="4" t="n">
        <x:v>1</x:v>
      </x:c>
      <x:c r="N108" s="3" t="n">
        <x:f>F108-E108</x:f>
        <x:v>-6.599999999999909</x:v>
      </x:c>
      <x:c r="O108" s="3" t="n">
        <x:f>ABS(N108)</x:f>
        <x:v>6.599999999999909</x:v>
      </x:c>
      <x:c r="P108" s="3" t="n">
        <x:v>1729.3</x:v>
      </x:c>
      <x:c r="Q108" s="3" t="n">
        <x:v>951.998167785235</x:v>
      </x:c>
      <x:c r="R108" s="3" t="n">
        <x:v>1023.4400000000002</x:v>
      </x:c>
      <x:c r="S108" s="3" t="n">
        <x:v>1061.63</x:v>
      </x:c>
      <x:c r="T108" s="3" t="n">
        <x:v>1021.1</x:v>
      </x:c>
    </x:row>
    <x:row r="109" ht="20" customHeight="1">
      <x:c r="A109" s="2" t="str">
        <x:v>20250526</x:v>
      </x:c>
      <x:c r="B109" s="2" t="str">
        <x:v>W</x:v>
      </x:c>
      <x:c r="C109" s="2" t="str">
        <x:v>2262</x:v>
      </x:c>
      <x:c r="D109" s="2" t="str">
        <x:v>car</x:v>
      </x:c>
      <x:c r="E109" s="3" t="n">
        <x:v>28.873403643336587</x:v>
      </x:c>
      <x:c r="F109" s="3" t="n">
        <x:v>19.773403643336678</x:v>
      </x:c>
      <x:c r="G109" s="3" t="n">
        <x:v>66.90340364333656</x:v>
      </x:c>
      <x:c r="H109" s="3" t="n">
        <x:v>28.713403643336733</x:v>
      </x:c>
      <x:c r="I109" s="3" t="n">
        <x:f>F109-H109</x:f>
        <x:v>-8.940000000000055</x:v>
      </x:c>
      <x:c r="J109" s="3" t="n">
        <x:f>G109-H109</x:f>
        <x:v>38.18999999999983</x:v>
      </x:c>
      <x:c r="K109" s="3" t="n">
        <x:f>E109-H109</x:f>
        <x:v>0.15999999999985448</x:v>
      </x:c>
      <x:c r="L109" s="4" t="n">
        <x:v>1</x:v>
      </x:c>
      <x:c r="M109" s="4" t="n">
        <x:v>1</x:v>
      </x:c>
      <x:c r="N109" s="3" t="n">
        <x:f>F109-E109</x:f>
        <x:v>-9.099999999999909</x:v>
      </x:c>
      <x:c r="O109" s="3" t="n">
        <x:f>ABS(N109)</x:f>
        <x:v>9.099999999999909</x:v>
      </x:c>
      <x:c r="P109" s="3" t="n">
        <x:v>1729.3</x:v>
      </x:c>
      <x:c r="Q109" s="3" t="n">
        <x:v>995.8265963566635</x:v>
      </x:c>
      <x:c r="R109" s="3" t="n">
        <x:v>1024.5400000000002</x:v>
      </x:c>
      <x:c r="S109" s="3" t="n">
        <x:v>1062.73</x:v>
      </x:c>
      <x:c r="T109" s="3" t="n">
        <x:v>1024.7</x:v>
      </x:c>
    </x:row>
    <x:row r="110" ht="20" customHeight="1">
      <x:c r="A110" s="2" t="str">
        <x:v>20250526</x:v>
      </x:c>
      <x:c r="B110" s="2" t="str">
        <x:v>W</x:v>
      </x:c>
      <x:c r="C110" s="2" t="str">
        <x:v>2309</x:v>
      </x:c>
      <x:c r="D110" s="2" t="str">
        <x:v>car</x:v>
      </x:c>
      <x:c r="E110" s="3" t="n">
        <x:v>3.164832214765056</x:v>
      </x:c>
      <x:c r="F110" s="3" t="n">
        <x:v>0</x:v>
      </x:c>
      <x:c r="G110" s="3" t="n">
        <x:v>39.89483221476485</x:v>
      </x:c>
      <x:c r="H110" s="3" t="n">
        <x:v>1.7048322147650197</x:v>
      </x:c>
      <x:c r="I110" s="3" t="n">
        <x:f>F110-H110</x:f>
        <x:v>-1.7048322147650197</x:v>
      </x:c>
      <x:c r="J110" s="3" t="n">
        <x:f>G110-H110</x:f>
        <x:v>38.18999999999983</x:v>
      </x:c>
      <x:c r="K110" s="3" t="n">
        <x:f>E110-H110</x:f>
        <x:v>1.4600000000000364</x:v>
      </x:c>
      <x:c r="L110" s="4" t="n">
        <x:v>1</x:v>
      </x:c>
      <x:c r="M110" s="4" t="n">
        <x:v>1</x:v>
      </x:c>
      <x:c r="N110" s="3" t="n">
        <x:f>F110-E110</x:f>
        <x:v>-3.164832214765056</x:v>
      </x:c>
      <x:c r="O110" s="3" t="n">
        <x:f>ABS(N110)</x:f>
        <x:v>3.164832214765056</x:v>
      </x:c>
      <x:c r="P110" s="3" t="n">
        <x:v>1729.3</x:v>
      </x:c>
      <x:c r="Q110" s="3" t="n">
        <x:v>1025.035167785235</x:v>
      </x:c>
      <x:c r="R110" s="3" t="n">
        <x:v>1026.74</x:v>
      </x:c>
      <x:c r="S110" s="3" t="n">
        <x:v>1064.9299999999998</x:v>
      </x:c>
      <x:c r="T110" s="3" t="n">
        <x:v>1028.2</x:v>
      </x:c>
    </x:row>
    <x:row r="111" ht="20" customHeight="1">
      <x:c r="A111" s="2" t="str">
        <x:v>20250526</x:v>
      </x:c>
      <x:c r="B111" s="2" t="str">
        <x:v>W</x:v>
      </x:c>
      <x:c r="C111" s="2" t="str">
        <x:v>2345</x:v>
      </x:c>
      <x:c r="D111" s="2" t="str">
        <x:v>car</x:v>
      </x:c>
      <x:c r="E111" s="3" t="n">
        <x:v>103.80056037010468</x:v>
      </x:c>
      <x:c r="F111" s="3" t="n">
        <x:v>100.30056037010468</x:v>
      </x:c>
      <x:c r="G111" s="3" t="n">
        <x:v>18.330560370104422</x:v>
      </x:c>
      <x:c r="H111" s="3" t="n">
        <x:v>0</x:v>
      </x:c>
      <x:c r="I111" s="3" t="n">
        <x:f>F111-H111</x:f>
        <x:v>100.30056037010468</x:v>
      </x:c>
      <x:c r="J111" s="3" t="n">
        <x:f>G111-H111</x:f>
        <x:v>18.330560370104422</x:v>
      </x:c>
      <x:c r="K111" s="3" t="n">
        <x:f>E111-H111</x:f>
        <x:v>103.80056037010468</x:v>
      </x:c>
      <x:c r="L111" s="4" t="n">
        <x:v>1</x:v>
      </x:c>
      <x:c r="M111" s="4" t="n">
        <x:v>1</x:v>
      </x:c>
      <x:c r="N111" s="3" t="n">
        <x:f>F111-E111</x:f>
        <x:v>-3.5</x:v>
      </x:c>
      <x:c r="O111" s="3" t="n">
        <x:f>ABS(N111)</x:f>
        <x:v>3.5</x:v>
      </x:c>
      <x:c r="P111" s="3" t="n">
        <x:v>1729.3</x:v>
      </x:c>
      <x:c r="Q111" s="3" t="n">
        <x:v>1047.6994396298953</x:v>
      </x:c>
      <x:c r="R111" s="3" t="n">
        <x:v>1047.6994396298953</x:v>
      </x:c>
      <x:c r="S111" s="3" t="n">
        <x:v>1066.0299999999997</x:v>
      </x:c>
      <x:c r="T111" s="3" t="n">
        <x:v>1151.5</x:v>
      </x:c>
    </x:row>
    <x:row r="112" ht="20" customHeight="1">
      <x:c r="A112" s="2" t="str">
        <x:v>20250526</x:v>
      </x:c>
      <x:c r="B112" s="2" t="str">
        <x:v>W</x:v>
      </x:c>
      <x:c r="C112" s="2" t="str">
        <x:v>2352</x:v>
      </x:c>
      <x:c r="D112" s="2" t="str">
        <x:v>car</x:v>
      </x:c>
      <x:c r="E112" s="3" t="n">
        <x:v>94.5788004687331</x:v>
      </x:c>
      <x:c r="F112" s="3" t="n">
        <x:v>92.5788004687331</x:v>
      </x:c>
      <x:c r="G112" s="3" t="n">
        <x:v>10.608800468732852</x:v>
      </x:c>
      <x:c r="H112" s="3" t="n">
        <x:v>0</x:v>
      </x:c>
      <x:c r="I112" s="3" t="n">
        <x:f>F112-H112</x:f>
        <x:v>92.5788004687331</x:v>
      </x:c>
      <x:c r="J112" s="3" t="n">
        <x:f>G112-H112</x:f>
        <x:v>10.608800468732852</x:v>
      </x:c>
      <x:c r="K112" s="3" t="n">
        <x:f>E112-H112</x:f>
        <x:v>94.5788004687331</x:v>
      </x:c>
      <x:c r="L112" s="4" t="n">
        <x:v>1</x:v>
      </x:c>
      <x:c r="M112" s="4" t="n">
        <x:v>1</x:v>
      </x:c>
      <x:c r="N112" s="3" t="n">
        <x:f>F112-E112</x:f>
        <x:v>-2</x:v>
      </x:c>
      <x:c r="O112" s="3" t="n">
        <x:f>ABS(N112)</x:f>
        <x:v>2</x:v>
      </x:c>
      <x:c r="P112" s="3" t="n">
        <x:v>1729.3</x:v>
      </x:c>
      <x:c r="Q112" s="3" t="n">
        <x:v>1056.5211995312668</x:v>
      </x:c>
      <x:c r="R112" s="3" t="n">
        <x:v>1056.5211995312668</x:v>
      </x:c>
      <x:c r="S112" s="3" t="n">
        <x:v>1067.1299999999997</x:v>
      </x:c>
      <x:c r="T112" s="3" t="n">
        <x:v>1151.1</x:v>
      </x:c>
    </x:row>
    <x:row r="113" ht="20" customHeight="1">
      <x:c r="A113" s="2" t="str">
        <x:v>20250526</x:v>
      </x:c>
      <x:c r="B113" s="2" t="str">
        <x:v>W</x:v>
      </x:c>
      <x:c r="C113" s="2" t="str">
        <x:v>2404</x:v>
      </x:c>
      <x:c r="D113" s="2" t="str">
        <x:v>car</x:v>
      </x:c>
      <x:c r="E113" s="3" t="n">
        <x:v>56.65233221476501</x:v>
      </x:c>
      <x:c r="F113" s="3" t="n">
        <x:v>52.95233221476474</x:v>
      </x:c>
      <x:c r="G113" s="3" t="n">
        <x:v>95.22233221476517</x:v>
      </x:c>
      <x:c r="H113" s="3" t="n">
        <x:v>0</x:v>
      </x:c>
      <x:c r="I113" s="3" t="n">
        <x:f>F113-H113</x:f>
        <x:v>52.95233221476474</x:v>
      </x:c>
      <x:c r="J113" s="3" t="n">
        <x:f>G113-H113</x:f>
        <x:v>95.22233221476517</x:v>
      </x:c>
      <x:c r="K113" s="3" t="n">
        <x:f>E113-H113</x:f>
        <x:v>56.65233221476501</x:v>
      </x:c>
      <x:c r="L113" s="4" t="n">
        <x:v>1</x:v>
      </x:c>
      <x:c r="M113" s="4" t="n">
        <x:v>1</x:v>
      </x:c>
      <x:c r="N113" s="3" t="n">
        <x:f>F113-E113</x:f>
        <x:v>-3.700000000000273</x:v>
      </x:c>
      <x:c r="O113" s="3" t="n">
        <x:f>ABS(N113)</x:f>
        <x:v>3.700000000000273</x:v>
      </x:c>
      <x:c r="P113" s="3" t="n">
        <x:v>1729.3</x:v>
      </x:c>
      <x:c r="Q113" s="3" t="n">
        <x:v>1097.247667785235</x:v>
      </x:c>
      <x:c r="R113" s="3" t="n">
        <x:v>1097.247667785235</x:v>
      </x:c>
      <x:c r="S113" s="3" t="n">
        <x:v>1192.4700000000003</x:v>
      </x:c>
      <x:c r="T113" s="3" t="n">
        <x:v>1153.9</x:v>
      </x:c>
    </x:row>
    <x:row r="114" ht="20" customHeight="1">
      <x:c r="A114" s="2" t="str">
        <x:v>20250526</x:v>
      </x:c>
      <x:c r="B114" s="2" t="str">
        <x:v>W</x:v>
      </x:c>
      <x:c r="C114" s="2" t="str">
        <x:v>2421</x:v>
      </x:c>
      <x:c r="D114" s="2" t="str">
        <x:v>car</x:v>
      </x:c>
      <x:c r="E114" s="3" t="n">
        <x:v>50.33108221476482</x:v>
      </x:c>
      <x:c r="F114" s="3" t="n">
        <x:v>44.83108221476459</x:v>
      </x:c>
      <x:c r="G114" s="3" t="n">
        <x:v>87.10108221476503</x:v>
      </x:c>
      <x:c r="H114" s="3" t="n">
        <x:v>107.72108221476492</x:v>
      </x:c>
      <x:c r="I114" s="3" t="n">
        <x:f>F114-H114</x:f>
        <x:v>-62.89000000000033</x:v>
      </x:c>
      <x:c r="J114" s="3" t="n">
        <x:f>G114-H114</x:f>
        <x:v>-20.61999999999989</x:v>
      </x:c>
      <x:c r="K114" s="3" t="n">
        <x:f>E114-H114</x:f>
        <x:v>-57.3900000000001</x:v>
      </x:c>
      <x:c r="L114" s="4" t="n">
        <x:v>1</x:v>
      </x:c>
      <x:c r="M114" s="4" t="n">
        <x:v>1</x:v>
      </x:c>
      <x:c r="N114" s="3" t="n">
        <x:f>F114-E114</x:f>
        <x:v>-5.500000000000227</x:v>
      </x:c>
      <x:c r="O114" s="3" t="n">
        <x:f>ABS(N114)</x:f>
        <x:v>5.500000000000227</x:v>
      </x:c>
      <x:c r="P114" s="3" t="n">
        <x:v>1729.3</x:v>
      </x:c>
      <x:c r="Q114" s="3" t="n">
        <x:v>1106.4689177852351</x:v>
      </x:c>
      <x:c r="R114" s="3" t="n">
        <x:v>1214.19</x:v>
      </x:c>
      <x:c r="S114" s="3" t="n">
        <x:v>1193.5700000000002</x:v>
      </x:c>
      <x:c r="T114" s="3" t="n">
        <x:v>1156.8</x:v>
      </x:c>
    </x:row>
    <x:row r="115" ht="20" customHeight="1">
      <x:c r="A115" s="2" t="str">
        <x:v>20250526</x:v>
      </x:c>
      <x:c r="B115" s="2" t="str">
        <x:v>W</x:v>
      </x:c>
      <x:c r="C115" s="2" t="str">
        <x:v>2443</x:v>
      </x:c>
      <x:c r="D115" s="2" t="str">
        <x:v>car</x:v>
      </x:c>
      <x:c r="E115" s="3" t="n">
        <x:v>33.901022690955415</x:v>
      </x:c>
      <x:c r="F115" s="3" t="n">
        <x:v>32.80102269095505</x:v>
      </x:c>
      <x:c r="G115" s="3" t="n">
        <x:v>75.07102269095549</x:v>
      </x:c>
      <x:c r="H115" s="3" t="n">
        <x:v>95.69102269095538</x:v>
      </x:c>
      <x:c r="I115" s="3" t="n">
        <x:f>F115-H115</x:f>
        <x:v>-62.89000000000033</x:v>
      </x:c>
      <x:c r="J115" s="3" t="n">
        <x:f>G115-H115</x:f>
        <x:v>-20.61999999999989</x:v>
      </x:c>
      <x:c r="K115" s="3" t="n">
        <x:f>E115-H115</x:f>
        <x:v>-61.789999999999964</x:v>
      </x:c>
      <x:c r="L115" s="4" t="n">
        <x:v>1</x:v>
      </x:c>
      <x:c r="M115" s="4" t="n">
        <x:v>1</x:v>
      </x:c>
      <x:c r="N115" s="3" t="n">
        <x:f>F115-E115</x:f>
        <x:v>-1.1000000000003638</x:v>
      </x:c>
      <x:c r="O115" s="3" t="n">
        <x:f>ABS(N115)</x:f>
        <x:v>1.1000000000003638</x:v>
      </x:c>
      <x:c r="P115" s="3" t="n">
        <x:v>1729.3</x:v>
      </x:c>
      <x:c r="Q115" s="3" t="n">
        <x:v>1119.5989773090446</x:v>
      </x:c>
      <x:c r="R115" s="3" t="n">
        <x:v>1215.29</x:v>
      </x:c>
      <x:c r="S115" s="3" t="n">
        <x:v>1194.67</x:v>
      </x:c>
      <x:c r="T115" s="3" t="n">
        <x:v>1153.5</x:v>
      </x:c>
    </x:row>
    <x:row r="116" ht="20" customHeight="1">
      <x:c r="A116" s="2" t="str">
        <x:v>20250526</x:v>
      </x:c>
      <x:c r="B116" s="2" t="str">
        <x:v>W</x:v>
      </x:c>
      <x:c r="C116" s="2" t="str">
        <x:v>2490</x:v>
      </x:c>
      <x:c r="D116" s="2" t="str">
        <x:v>car</x:v>
      </x:c>
      <x:c r="E116" s="3" t="n">
        <x:v>11.58376078619358</x:v>
      </x:c>
      <x:c r="F116" s="3" t="n">
        <x:v>9.483760786193216</x:v>
      </x:c>
      <x:c r="G116" s="3" t="n">
        <x:v>51.75376078619365</x:v>
      </x:c>
      <x:c r="H116" s="3" t="n">
        <x:v>72.37376078619354</x:v>
      </x:c>
      <x:c r="I116" s="3" t="n">
        <x:f>F116-H116</x:f>
        <x:v>-62.89000000000033</x:v>
      </x:c>
      <x:c r="J116" s="3" t="n">
        <x:f>G116-H116</x:f>
        <x:v>-20.61999999999989</x:v>
      </x:c>
      <x:c r="K116" s="3" t="n">
        <x:f>E116-H116</x:f>
        <x:v>-60.789999999999964</x:v>
      </x:c>
      <x:c r="L116" s="4" t="n">
        <x:v>1</x:v>
      </x:c>
      <x:c r="M116" s="4" t="n">
        <x:v>1</x:v>
      </x:c>
      <x:c r="N116" s="3" t="n">
        <x:f>F116-E116</x:f>
        <x:v>-2.100000000000364</x:v>
      </x:c>
      <x:c r="O116" s="3" t="n">
        <x:f>ABS(N116)</x:f>
        <x:v>2.100000000000364</x:v>
      </x:c>
      <x:c r="P116" s="3" t="n">
        <x:v>1729.3</x:v>
      </x:c>
      <x:c r="Q116" s="3" t="n">
        <x:v>1144.0162392138063</x:v>
      </x:c>
      <x:c r="R116" s="3" t="n">
        <x:v>1216.3899999999999</x:v>
      </x:c>
      <x:c r="S116" s="3" t="n">
        <x:v>1195.77</x:v>
      </x:c>
      <x:c r="T116" s="3" t="n">
        <x:v>1155.6</x:v>
      </x:c>
    </x:row>
    <x:row r="117" ht="20" customHeight="1">
      <x:c r="A117" s="2" t="str">
        <x:v>20250526</x:v>
      </x:c>
      <x:c r="B117" s="2" t="str">
        <x:v>W</x:v>
      </x:c>
      <x:c r="C117" s="2" t="str">
        <x:v>2504</x:v>
      </x:c>
      <x:c r="D117" s="2" t="str">
        <x:v>car</x:v>
      </x:c>
      <x:c r="E117" s="3" t="n">
        <x:v>7.756975071907846</x:v>
      </x:c>
      <x:c r="F117" s="3" t="n">
        <x:v>2.0569750719073454</x:v>
      </x:c>
      <x:c r="G117" s="3" t="n">
        <x:v>44.32697507190778</x:v>
      </x:c>
      <x:c r="H117" s="3" t="n">
        <x:v>64.94697507190767</x:v>
      </x:c>
      <x:c r="I117" s="3" t="n">
        <x:f>F117-H117</x:f>
        <x:v>-62.89000000000033</x:v>
      </x:c>
      <x:c r="J117" s="3" t="n">
        <x:f>G117-H117</x:f>
        <x:v>-20.61999999999989</x:v>
      </x:c>
      <x:c r="K117" s="3" t="n">
        <x:f>E117-H117</x:f>
        <x:v>-57.18999999999983</x:v>
      </x:c>
      <x:c r="L117" s="4" t="n">
        <x:v>1</x:v>
      </x:c>
      <x:c r="M117" s="4" t="n">
        <x:v>1</x:v>
      </x:c>
      <x:c r="N117" s="3" t="n">
        <x:f>F117-E117</x:f>
        <x:v>-5.7000000000005</x:v>
      </x:c>
      <x:c r="O117" s="3" t="n">
        <x:f>ABS(N117)</x:f>
        <x:v>5.7000000000005</x:v>
      </x:c>
      <x:c r="P117" s="3" t="n">
        <x:v>1729.3</x:v>
      </x:c>
      <x:c r="Q117" s="3" t="n">
        <x:v>1152.543024928092</x:v>
      </x:c>
      <x:c r="R117" s="3" t="n">
        <x:v>1217.4899999999998</x:v>
      </x:c>
      <x:c r="S117" s="3" t="n">
        <x:v>1196.87</x:v>
      </x:c>
      <x:c r="T117" s="3" t="n">
        <x:v>1160.3</x:v>
      </x:c>
    </x:row>
    <x:row r="118" ht="20" customHeight="1">
      <x:c r="A118" s="2" t="str">
        <x:v>20250526</x:v>
      </x:c>
      <x:c r="B118" s="2" t="str">
        <x:v>W</x:v>
      </x:c>
      <x:c r="C118" s="2" t="str">
        <x:v>2508</x:v>
      </x:c>
      <x:c r="D118" s="2" t="str">
        <x:v>car</x:v>
      </x:c>
      <x:c r="E118" s="3" t="n">
        <x:v>5.7581655480983045</x:v>
      </x:c>
      <x:c r="F118" s="3" t="n">
        <x:v>0</x:v>
      </x:c>
      <x:c r="G118" s="3" t="n">
        <x:v>41.42816554809815</x:v>
      </x:c>
      <x:c r="H118" s="3" t="n">
        <x:v>62.04816554809804</x:v>
      </x:c>
      <x:c r="I118" s="3" t="n">
        <x:f>F118-H118</x:f>
        <x:v>-62.04816554809804</x:v>
      </x:c>
      <x:c r="J118" s="3" t="n">
        <x:f>G118-H118</x:f>
        <x:v>-20.61999999999989</x:v>
      </x:c>
      <x:c r="K118" s="3" t="n">
        <x:f>E118-H118</x:f>
        <x:v>-56.289999999999736</x:v>
      </x:c>
      <x:c r="L118" s="4" t="n">
        <x:v>1</x:v>
      </x:c>
      <x:c r="M118" s="4" t="n">
        <x:v>1</x:v>
      </x:c>
      <x:c r="N118" s="3" t="n">
        <x:f>F118-E118</x:f>
        <x:v>-5.7581655480983045</x:v>
      </x:c>
      <x:c r="O118" s="3" t="n">
        <x:f>ABS(N118)</x:f>
        <x:v>5.7581655480983045</x:v>
      </x:c>
      <x:c r="P118" s="3" t="n">
        <x:v>1729.3</x:v>
      </x:c>
      <x:c r="Q118" s="3" t="n">
        <x:v>1156.5418344519017</x:v>
      </x:c>
      <x:c r="R118" s="3" t="n">
        <x:v>1218.5899999999997</x:v>
      </x:c>
      <x:c r="S118" s="3" t="n">
        <x:v>1197.9699999999998</x:v>
      </x:c>
      <x:c r="T118" s="3" t="n">
        <x:v>1162.3</x:v>
      </x:c>
    </x:row>
    <x:row r="119" ht="20" customHeight="1">
      <x:c r="A119" s="2" t="str">
        <x:v>20250526</x:v>
      </x:c>
      <x:c r="B119" s="2" t="str">
        <x:v>W</x:v>
      </x:c>
      <x:c r="C119" s="2" t="str">
        <x:v>2514</x:v>
      </x:c>
      <x:c r="D119" s="2" t="str">
        <x:v>car</x:v>
      </x:c>
      <x:c r="E119" s="3" t="n">
        <x:v>4.180387770320522</x:v>
      </x:c>
      <x:c r="F119" s="3" t="n">
        <x:v>0</x:v>
      </x:c>
      <x:c r="G119" s="3" t="n">
        <x:v>38.550387770320185</x:v>
      </x:c>
      <x:c r="H119" s="3" t="n">
        <x:v>59.170387770320076</x:v>
      </x:c>
      <x:c r="I119" s="3" t="n">
        <x:f>F119-H119</x:f>
        <x:v>-59.170387770320076</x:v>
      </x:c>
      <x:c r="J119" s="3" t="n">
        <x:f>G119-H119</x:f>
        <x:v>-20.61999999999989</x:v>
      </x:c>
      <x:c r="K119" s="3" t="n">
        <x:f>E119-H119</x:f>
        <x:v>-54.989999999999554</x:v>
      </x:c>
      <x:c r="L119" s="4" t="n">
        <x:v>1</x:v>
      </x:c>
      <x:c r="M119" s="4" t="n">
        <x:v>1</x:v>
      </x:c>
      <x:c r="N119" s="3" t="n">
        <x:f>F119-E119</x:f>
        <x:v>-4.180387770320522</x:v>
      </x:c>
      <x:c r="O119" s="3" t="n">
        <x:f>ABS(N119)</x:f>
        <x:v>4.180387770320522</x:v>
      </x:c>
      <x:c r="P119" s="3" t="n">
        <x:v>1729.3</x:v>
      </x:c>
      <x:c r="Q119" s="3" t="n">
        <x:v>1160.5196122296795</x:v>
      </x:c>
      <x:c r="R119" s="3" t="n">
        <x:v>1219.6899999999996</x:v>
      </x:c>
      <x:c r="S119" s="3" t="n">
        <x:v>1199.0699999999997</x:v>
      </x:c>
      <x:c r="T119" s="3" t="n">
        <x:v>1164.7</x:v>
      </x:c>
    </x:row>
    <x:row r="120" ht="20" customHeight="1">
      <x:c r="A120" s="2" t="str">
        <x:v>20250526</x:v>
      </x:c>
      <x:c r="B120" s="2" t="str">
        <x:v>W</x:v>
      </x:c>
      <x:c r="C120" s="2" t="str">
        <x:v>2521</x:v>
      </x:c>
      <x:c r="D120" s="2" t="str">
        <x:v>car</x:v>
      </x:c>
      <x:c r="E120" s="3" t="n">
        <x:v>3.1095779774768744</x:v>
      </x:c>
      <x:c r="F120" s="3" t="n">
        <x:v>0</x:v>
      </x:c>
      <x:c r="G120" s="3" t="n">
        <x:v>36.8795779774764</x:v>
      </x:c>
      <x:c r="H120" s="3" t="n">
        <x:v>57.49957797747629</x:v>
      </x:c>
      <x:c r="I120" s="3" t="n">
        <x:f>F120-H120</x:f>
        <x:v>-57.49957797747629</x:v>
      </x:c>
      <x:c r="J120" s="3" t="n">
        <x:f>G120-H120</x:f>
        <x:v>-20.61999999999989</x:v>
      </x:c>
      <x:c r="K120" s="3" t="n">
        <x:f>E120-H120</x:f>
        <x:v>-54.38999999999942</x:v>
      </x:c>
      <x:c r="L120" s="4" t="n">
        <x:v>1</x:v>
      </x:c>
      <x:c r="M120" s="4" t="n">
        <x:v>1</x:v>
      </x:c>
      <x:c r="N120" s="3" t="n">
        <x:f>F120-E120</x:f>
        <x:v>-3.1095779774768744</x:v>
      </x:c>
      <x:c r="O120" s="3" t="n">
        <x:f>ABS(N120)</x:f>
        <x:v>3.1095779774768744</x:v>
      </x:c>
      <x:c r="P120" s="3" t="n">
        <x:v>1729.3</x:v>
      </x:c>
      <x:c r="Q120" s="3" t="n">
        <x:v>1163.2904220225232</x:v>
      </x:c>
      <x:c r="R120" s="3" t="n">
        <x:v>1220.7899999999995</x:v>
      </x:c>
      <x:c r="S120" s="3" t="n">
        <x:v>1200.1699999999996</x:v>
      </x:c>
      <x:c r="T120" s="3" t="n">
        <x:v>1166.4</x:v>
      </x:c>
    </x:row>
    <x:row r="121" ht="20" customHeight="1">
      <x:c r="A121" s="2" t="str">
        <x:v>20250526</x:v>
      </x:c>
      <x:c r="B121" s="2" t="str">
        <x:v>W</x:v>
      </x:c>
      <x:c r="C121" s="2" t="str">
        <x:v>2528</x:v>
      </x:c>
      <x:c r="D121" s="2" t="str">
        <x:v>car</x:v>
      </x:c>
      <x:c r="E121" s="3" t="n">
        <x:v>2.2022970034972786</x:v>
      </x:c>
      <x:c r="F121" s="3" t="n">
        <x:v>0</x:v>
      </x:c>
      <x:c r="G121" s="3" t="n">
        <x:v>35.3722970034969</x:v>
      </x:c>
      <x:c r="H121" s="3" t="n">
        <x:v>55.99229700349679</x:v>
      </x:c>
      <x:c r="I121" s="3" t="n">
        <x:f>F121-H121</x:f>
        <x:v>-55.99229700349679</x:v>
      </x:c>
      <x:c r="J121" s="3" t="n">
        <x:f>G121-H121</x:f>
        <x:v>-20.61999999999989</x:v>
      </x:c>
      <x:c r="K121" s="3" t="n">
        <x:f>E121-H121</x:f>
        <x:v>-53.78999999999951</x:v>
      </x:c>
      <x:c r="L121" s="4" t="n">
        <x:v>1</x:v>
      </x:c>
      <x:c r="M121" s="4" t="n">
        <x:v>1</x:v>
      </x:c>
      <x:c r="N121" s="3" t="n">
        <x:f>F121-E121</x:f>
        <x:v>-2.2022970034972786</x:v>
      </x:c>
      <x:c r="O121" s="3" t="n">
        <x:f>ABS(N121)</x:f>
        <x:v>2.2022970034972786</x:v>
      </x:c>
      <x:c r="P121" s="3" t="n">
        <x:v>1729.3</x:v>
      </x:c>
      <x:c r="Q121" s="3" t="n">
        <x:v>1165.8977029965026</x:v>
      </x:c>
      <x:c r="R121" s="3" t="n">
        <x:v>1221.8899999999994</x:v>
      </x:c>
      <x:c r="S121" s="3" t="n">
        <x:v>1201.2699999999995</x:v>
      </x:c>
      <x:c r="T121" s="3" t="n">
        <x:v>1168.1</x:v>
      </x:c>
    </x:row>
    <x:row r="122" ht="20" customHeight="1">
      <x:c r="A122" s="2" t="str">
        <x:v>20250526</x:v>
      </x:c>
      <x:c r="B122" s="2" t="str">
        <x:v>W</x:v>
      </x:c>
      <x:c r="C122" s="2" t="str">
        <x:v>2531</x:v>
      </x:c>
      <x:c r="D122" s="2" t="str">
        <x:v>car</x:v>
      </x:c>
      <x:c r="E122" s="3" t="n">
        <x:v>1.9091695641623119</x:v>
      </x:c>
      <x:c r="F122" s="3" t="n">
        <x:v>0</x:v>
      </x:c>
      <x:c r="G122" s="3" t="n">
        <x:v>35.17916956416184</x:v>
      </x:c>
      <x:c r="H122" s="3" t="n">
        <x:v>55.79916956416173</x:v>
      </x:c>
      <x:c r="I122" s="3" t="n">
        <x:f>F122-H122</x:f>
        <x:v>-55.79916956416173</x:v>
      </x:c>
      <x:c r="J122" s="3" t="n">
        <x:f>G122-H122</x:f>
        <x:v>-20.61999999999989</x:v>
      </x:c>
      <x:c r="K122" s="3" t="n">
        <x:f>E122-H122</x:f>
        <x:v>-53.88999999999942</x:v>
      </x:c>
      <x:c r="L122" s="4" t="n">
        <x:v>1</x:v>
      </x:c>
      <x:c r="M122" s="4" t="n">
        <x:v>1</x:v>
      </x:c>
      <x:c r="N122" s="3" t="n">
        <x:f>F122-E122</x:f>
        <x:v>-1.9091695641623119</x:v>
      </x:c>
      <x:c r="O122" s="3" t="n">
        <x:f>ABS(N122)</x:f>
        <x:v>1.9091695641623119</x:v>
      </x:c>
      <x:c r="P122" s="3" t="n">
        <x:v>1729.3</x:v>
      </x:c>
      <x:c r="Q122" s="3" t="n">
        <x:v>1167.1908304358376</x:v>
      </x:c>
      <x:c r="R122" s="3" t="n">
        <x:v>1222.9899999999993</x:v>
      </x:c>
      <x:c r="S122" s="3" t="n">
        <x:v>1202.3699999999994</x:v>
      </x:c>
      <x:c r="T122" s="3" t="n">
        <x:v>1169.1</x:v>
      </x:c>
    </x:row>
    <x:row r="123" ht="20" customHeight="1">
      <x:c r="A123" s="2" t="str">
        <x:v>20250526</x:v>
      </x:c>
      <x:c r="B123" s="2" t="str">
        <x:v>W</x:v>
      </x:c>
      <x:c r="C123" s="2" t="str">
        <x:v>2535</x:v>
      </x:c>
      <x:c r="D123" s="2" t="str">
        <x:v>car</x:v>
      </x:c>
      <x:c r="E123" s="3" t="n">
        <x:v>2.004142559592765</x:v>
      </x:c>
      <x:c r="F123" s="3" t="n">
        <x:v>0</x:v>
      </x:c>
      <x:c r="G123" s="3" t="n">
        <x:v>34.57414255959202</x:v>
      </x:c>
      <x:c r="H123" s="3" t="n">
        <x:v>55.19414255959191</x:v>
      </x:c>
      <x:c r="I123" s="3" t="n">
        <x:f>F123-H123</x:f>
        <x:v>-55.19414255959191</x:v>
      </x:c>
      <x:c r="J123" s="3" t="n">
        <x:f>G123-H123</x:f>
        <x:v>-20.61999999999989</x:v>
      </x:c>
      <x:c r="K123" s="3" t="n">
        <x:f>E123-H123</x:f>
        <x:v>-53.189999999999145</x:v>
      </x:c>
      <x:c r="L123" s="4" t="n">
        <x:v>1</x:v>
      </x:c>
      <x:c r="M123" s="4" t="n">
        <x:v>1</x:v>
      </x:c>
      <x:c r="N123" s="3" t="n">
        <x:f>F123-E123</x:f>
        <x:v>-2.004142559592765</x:v>
      </x:c>
      <x:c r="O123" s="3" t="n">
        <x:f>ABS(N123)</x:f>
        <x:v>2.004142559592765</x:v>
      </x:c>
      <x:c r="P123" s="3" t="n">
        <x:v>1729.3</x:v>
      </x:c>
      <x:c r="Q123" s="3" t="n">
        <x:v>1168.8958574404073</x:v>
      </x:c>
      <x:c r="R123" s="3" t="n">
        <x:v>1224.0899999999992</x:v>
      </x:c>
      <x:c r="S123" s="3" t="n">
        <x:v>1203.4699999999993</x:v>
      </x:c>
      <x:c r="T123" s="3" t="n">
        <x:v>1170.9</x:v>
      </x:c>
    </x:row>
    <x:row r="124" ht="20" customHeight="1">
      <x:c r="A124" s="2" t="str">
        <x:v>20250526</x:v>
      </x:c>
      <x:c r="B124" s="2" t="str">
        <x:v>W</x:v>
      </x:c>
      <x:c r="C124" s="2" t="str">
        <x:v>2655</x:v>
      </x:c>
      <x:c r="D124" s="2" t="str">
        <x:v>car</x:v>
      </x:c>
      <x:c r="E124" s="3" t="n">
        <x:v>40.92899888143165</x:v>
      </x:c>
      <x:c r="F124" s="3" t="n">
        <x:v>36.6289988814317</x:v>
      </x:c>
      <x:c r="G124" s="3" t="n">
        <x:v>73.02899888143202</x:v>
      </x:c>
      <x:c r="H124" s="3" t="n">
        <x:v>0</x:v>
      </x:c>
      <x:c r="I124" s="3" t="n">
        <x:f>F124-H124</x:f>
        <x:v>36.6289988814317</x:v>
      </x:c>
      <x:c r="J124" s="3" t="n">
        <x:f>G124-H124</x:f>
        <x:v>73.02899888143202</x:v>
      </x:c>
      <x:c r="K124" s="3" t="n">
        <x:f>E124-H124</x:f>
        <x:v>40.92899888143165</x:v>
      </x:c>
      <x:c r="L124" s="4" t="n">
        <x:v>1</x:v>
      </x:c>
      <x:c r="M124" s="4" t="n">
        <x:v>1</x:v>
      </x:c>
      <x:c r="N124" s="3" t="n">
        <x:f>F124-E124</x:f>
        <x:v>-4.2999999999999545</x:v>
      </x:c>
      <x:c r="O124" s="3" t="n">
        <x:f>ABS(N124)</x:f>
        <x:v>4.2999999999999545</x:v>
      </x:c>
      <x:c r="P124" s="3" t="n">
        <x:v>1729.3</x:v>
      </x:c>
      <x:c r="Q124" s="3" t="n">
        <x:v>1252.3710011185683</x:v>
      </x:c>
      <x:c r="R124" s="3" t="n">
        <x:v>1252.3710011185683</x:v>
      </x:c>
      <x:c r="S124" s="3" t="n">
        <x:v>1325.4000000000003</x:v>
      </x:c>
      <x:c r="T124" s="3" t="n">
        <x:v>1293.3</x:v>
      </x:c>
    </x:row>
    <x:row r="125" ht="20" customHeight="1">
      <x:c r="A125" s="2" t="str">
        <x:v>20250526</x:v>
      </x:c>
      <x:c r="B125" s="2" t="str">
        <x:v>W</x:v>
      </x:c>
      <x:c r="C125" s="2" t="str">
        <x:v>2691</x:v>
      </x:c>
      <x:c r="D125" s="2" t="str">
        <x:v>car</x:v>
      </x:c>
      <x:c r="E125" s="3" t="n">
        <x:v>23.44911792905077</x:v>
      </x:c>
      <x:c r="F125" s="3" t="n">
        <x:v>14.249117929050726</x:v>
      </x:c>
      <x:c r="G125" s="3" t="n">
        <x:v>50.649117929051044</x:v>
      </x:c>
      <x:c r="H125" s="3" t="n">
        <x:v>0</x:v>
      </x:c>
      <x:c r="I125" s="3" t="n">
        <x:f>F125-H125</x:f>
        <x:v>14.249117929050726</x:v>
      </x:c>
      <x:c r="J125" s="3" t="n">
        <x:f>G125-H125</x:f>
        <x:v>50.649117929051044</x:v>
      </x:c>
      <x:c r="K125" s="3" t="n">
        <x:f>E125-H125</x:f>
        <x:v>23.44911792905077</x:v>
      </x:c>
      <x:c r="L125" s="4" t="n">
        <x:v>1</x:v>
      </x:c>
      <x:c r="M125" s="4" t="n">
        <x:v>1</x:v>
      </x:c>
      <x:c r="N125" s="3" t="n">
        <x:f>F125-E125</x:f>
        <x:v>-9.200000000000045</x:v>
      </x:c>
      <x:c r="O125" s="3" t="n">
        <x:f>ABS(N125)</x:f>
        <x:v>9.200000000000045</x:v>
      </x:c>
      <x:c r="P125" s="3" t="n">
        <x:v>1729.3</x:v>
      </x:c>
      <x:c r="Q125" s="3" t="n">
        <x:v>1275.8508820709492</x:v>
      </x:c>
      <x:c r="R125" s="3" t="n">
        <x:v>1275.8508820709492</x:v>
      </x:c>
      <x:c r="S125" s="3" t="n">
        <x:v>1326.5000000000002</x:v>
      </x:c>
      <x:c r="T125" s="3" t="n">
        <x:v>1299.3</x:v>
      </x:c>
    </x:row>
    <x:row r="126" ht="20" customHeight="1">
      <x:c r="A126" s="2" t="str">
        <x:v>20250526</x:v>
      </x:c>
      <x:c r="B126" s="2" t="str">
        <x:v>W</x:v>
      </x:c>
      <x:c r="C126" s="2" t="str">
        <x:v>2773</x:v>
      </x:c>
      <x:c r="D126" s="2" t="str">
        <x:v>car</x:v>
      </x:c>
      <x:c r="E126" s="3" t="n">
        <x:v>99.7697863432054</x:v>
      </x:c>
      <x:c r="F126" s="3" t="n">
        <x:v>96.16978634320549</x:v>
      </x:c>
      <x:c r="G126" s="3" t="n">
        <x:v>0</x:v>
      </x:c>
      <x:c r="H126" s="3" t="n">
        <x:v>94.46978634320567</x:v>
      </x:c>
      <x:c r="I126" s="3" t="n">
        <x:f>F126-H126</x:f>
        <x:v>1.699999999999818</x:v>
      </x:c>
      <x:c r="J126" s="3" t="n">
        <x:f>G126-H126</x:f>
        <x:v>-94.46978634320567</x:v>
      </x:c>
      <x:c r="K126" s="3" t="n">
        <x:f>E126-H126</x:f>
        <x:v>5.299999999999727</x:v>
      </x:c>
      <x:c r="L126" s="4" t="n">
        <x:v>1</x:v>
      </x:c>
      <x:c r="M126" s="4" t="n">
        <x:v>1</x:v>
      </x:c>
      <x:c r="N126" s="3" t="n">
        <x:f>F126-E126</x:f>
        <x:v>-3.599999999999909</x:v>
      </x:c>
      <x:c r="O126" s="3" t="n">
        <x:f>ABS(N126)</x:f>
        <x:v>3.599999999999909</x:v>
      </x:c>
      <x:c r="P126" s="3" t="n">
        <x:v>1729.3</x:v>
      </x:c>
      <x:c r="Q126" s="3" t="n">
        <x:v>1331.8302136567945</x:v>
      </x:c>
      <x:c r="R126" s="3" t="n">
        <x:v>1426.3000000000002</x:v>
      </x:c>
      <x:c r="S126" s="3" t="n">
        <x:v>1331.8302136567945</x:v>
      </x:c>
      <x:c r="T126" s="3" t="n">
        <x:v>1431.6</x:v>
      </x:c>
    </x:row>
    <x:row r="127" ht="20" customHeight="1">
      <x:c r="A127" s="2" t="str">
        <x:v>20250526</x:v>
      </x:c>
      <x:c r="B127" s="2" t="str">
        <x:v>W</x:v>
      </x:c>
      <x:c r="C127" s="2" t="str">
        <x:v>2779</x:v>
      </x:c>
      <x:c r="D127" s="2" t="str">
        <x:v>car</x:v>
      </x:c>
      <x:c r="E127" s="3" t="n">
        <x:v>96.2399837299165</x:v>
      </x:c>
      <x:c r="F127" s="3" t="n">
        <x:v>89.43998372991632</x:v>
      </x:c>
      <x:c r="G127" s="3" t="n">
        <x:v>110.73998372991673</x:v>
      </x:c>
      <x:c r="H127" s="3" t="n">
        <x:v>87.7399837299165</x:v>
      </x:c>
      <x:c r="I127" s="3" t="n">
        <x:f>F127-H127</x:f>
        <x:v>1.699999999999818</x:v>
      </x:c>
      <x:c r="J127" s="3" t="n">
        <x:f>G127-H127</x:f>
        <x:v>23.000000000000227</x:v>
      </x:c>
      <x:c r="K127" s="3" t="n">
        <x:f>E127-H127</x:f>
        <x:v>8.5</x:v>
      </x:c>
      <x:c r="L127" s="4" t="n">
        <x:v>1</x:v>
      </x:c>
      <x:c r="M127" s="4" t="n">
        <x:v>1</x:v>
      </x:c>
      <x:c r="N127" s="3" t="n">
        <x:f>F127-E127</x:f>
        <x:v>-6.800000000000182</x:v>
      </x:c>
      <x:c r="O127" s="3" t="n">
        <x:f>ABS(N127)</x:f>
        <x:v>6.800000000000182</x:v>
      </x:c>
      <x:c r="P127" s="3" t="n">
        <x:v>1729.3</x:v>
      </x:c>
      <x:c r="Q127" s="3" t="n">
        <x:v>1339.6600162700836</x:v>
      </x:c>
      <x:c r="R127" s="3" t="n">
        <x:v>1427.4</x:v>
      </x:c>
      <x:c r="S127" s="3" t="n">
        <x:v>1450.4000000000003</x:v>
      </x:c>
      <x:c r="T127" s="3" t="n">
        <x:v>1435.9</x:v>
      </x:c>
    </x:row>
    <x:row r="128" ht="20" customHeight="1">
      <x:c r="A128" s="2" t="str">
        <x:v>20250526</x:v>
      </x:c>
      <x:c r="B128" s="2" t="str">
        <x:v>W</x:v>
      </x:c>
      <x:c r="C128" s="2" t="str">
        <x:v>2785</x:v>
      </x:c>
      <x:c r="D128" s="2" t="str">
        <x:v>car</x:v>
      </x:c>
      <x:c r="E128" s="3" t="n">
        <x:v>92.53108221476487</x:v>
      </x:c>
      <x:c r="F128" s="3" t="n">
        <x:v>83.03108221476464</x:v>
      </x:c>
      <x:c r="G128" s="3" t="n">
        <x:v>104.33108221476505</x:v>
      </x:c>
      <x:c r="H128" s="3" t="n">
        <x:v>81.33108221476482</x:v>
      </x:c>
      <x:c r="I128" s="3" t="n">
        <x:f>F128-H128</x:f>
        <x:v>1.699999999999818</x:v>
      </x:c>
      <x:c r="J128" s="3" t="n">
        <x:f>G128-H128</x:f>
        <x:v>23.000000000000227</x:v>
      </x:c>
      <x:c r="K128" s="3" t="n">
        <x:f>E128-H128</x:f>
        <x:v>11.200000000000045</x:v>
      </x:c>
      <x:c r="L128" s="4" t="n">
        <x:v>1</x:v>
      </x:c>
      <x:c r="M128" s="4" t="n">
        <x:v>1</x:v>
      </x:c>
      <x:c r="N128" s="3" t="n">
        <x:f>F128-E128</x:f>
        <x:v>-9.500000000000227</x:v>
      </x:c>
      <x:c r="O128" s="3" t="n">
        <x:f>ABS(N128)</x:f>
        <x:v>9.500000000000227</x:v>
      </x:c>
      <x:c r="P128" s="3" t="n">
        <x:v>1729.3</x:v>
      </x:c>
      <x:c r="Q128" s="3" t="n">
        <x:v>1347.1689177852352</x:v>
      </x:c>
      <x:c r="R128" s="3" t="n">
        <x:v>1428.5</x:v>
      </x:c>
      <x:c r="S128" s="3" t="n">
        <x:v>1451.5000000000002</x:v>
      </x:c>
      <x:c r="T128" s="3" t="n">
        <x:v>1439.7</x:v>
      </x:c>
    </x:row>
    <x:row r="129" ht="20" customHeight="1">
      <x:c r="A129" s="2" t="str">
        <x:v>20250526</x:v>
      </x:c>
      <x:c r="B129" s="2" t="str">
        <x:v>W</x:v>
      </x:c>
      <x:c r="C129" s="2" t="str">
        <x:v>2789</x:v>
      </x:c>
      <x:c r="D129" s="2" t="str">
        <x:v>car</x:v>
      </x:c>
      <x:c r="E129" s="3" t="n">
        <x:v>82.78483221476495</x:v>
      </x:c>
      <x:c r="F129" s="3" t="n">
        <x:v>81.28483221476472</x:v>
      </x:c>
      <x:c r="G129" s="3" t="n">
        <x:v>102.58483221476513</x:v>
      </x:c>
      <x:c r="H129" s="3" t="n">
        <x:v>79.5848322147649</x:v>
      </x:c>
      <x:c r="I129" s="3" t="n">
        <x:f>F129-H129</x:f>
        <x:v>1.699999999999818</x:v>
      </x:c>
      <x:c r="J129" s="3" t="n">
        <x:f>G129-H129</x:f>
        <x:v>23.000000000000227</x:v>
      </x:c>
      <x:c r="K129" s="3" t="n">
        <x:f>E129-H129</x:f>
        <x:v>3.2000000000000455</x:v>
      </x:c>
      <x:c r="L129" s="4" t="n">
        <x:v>1</x:v>
      </x:c>
      <x:c r="M129" s="4" t="n">
        <x:v>1</x:v>
      </x:c>
      <x:c r="N129" s="3" t="n">
        <x:f>F129-E129</x:f>
        <x:v>-1.5000000000002274</x:v>
      </x:c>
      <x:c r="O129" s="3" t="n">
        <x:f>ABS(N129)</x:f>
        <x:v>1.5000000000002274</x:v>
      </x:c>
      <x:c r="P129" s="3" t="n">
        <x:v>1729.3</x:v>
      </x:c>
      <x:c r="Q129" s="3" t="n">
        <x:v>1350.015167785235</x:v>
      </x:c>
      <x:c r="R129" s="3" t="n">
        <x:v>1429.6</x:v>
      </x:c>
      <x:c r="S129" s="3" t="n">
        <x:v>1452.6000000000001</x:v>
      </x:c>
      <x:c r="T129" s="3" t="n">
        <x:v>1432.8</x:v>
      </x:c>
    </x:row>
    <x:row r="130" ht="20" customHeight="1">
      <x:c r="A130" s="2" t="str">
        <x:v>20250526</x:v>
      </x:c>
      <x:c r="B130" s="2" t="str">
        <x:v>W</x:v>
      </x:c>
      <x:c r="C130" s="2" t="str">
        <x:v>2947</x:v>
      </x:c>
      <x:c r="D130" s="2" t="str">
        <x:v>car</x:v>
      </x:c>
      <x:c r="E130" s="3" t="n">
        <x:v>13.450507890440804</x:v>
      </x:c>
      <x:c r="F130" s="3" t="n">
        <x:v>4.1505078904403945</x:v>
      </x:c>
      <x:c r="G130" s="3" t="n">
        <x:v>25.450507890440804</x:v>
      </x:c>
      <x:c r="H130" s="3" t="n">
        <x:v>2.4505078904405764</x:v>
      </x:c>
      <x:c r="I130" s="3" t="n">
        <x:f>F130-H130</x:f>
        <x:v>1.699999999999818</x:v>
      </x:c>
      <x:c r="J130" s="3" t="n">
        <x:f>G130-H130</x:f>
        <x:v>23.000000000000227</x:v>
      </x:c>
      <x:c r="K130" s="3" t="n">
        <x:f>E130-H130</x:f>
        <x:v>11.000000000000227</x:v>
      </x:c>
      <x:c r="L130" s="4" t="n">
        <x:v>1</x:v>
      </x:c>
      <x:c r="M130" s="4" t="n">
        <x:v>1</x:v>
      </x:c>
      <x:c r="N130" s="3" t="n">
        <x:f>F130-E130</x:f>
        <x:v>-9.30000000000041</x:v>
      </x:c>
      <x:c r="O130" s="3" t="n">
        <x:f>ABS(N130)</x:f>
        <x:v>9.30000000000041</x:v>
      </x:c>
      <x:c r="P130" s="3" t="n">
        <x:v>1729.3</x:v>
      </x:c>
      <x:c r="Q130" s="3" t="n">
        <x:v>1428.2494921095592</x:v>
      </x:c>
      <x:c r="R130" s="3" t="n">
        <x:v>1430.6999999999998</x:v>
      </x:c>
      <x:c r="S130" s="3" t="n">
        <x:v>1453.7</x:v>
      </x:c>
      <x:c r="T130" s="3" t="n">
        <x:v>1441.7</x:v>
      </x:c>
    </x:row>
    <x:row r="131" ht="20" customHeight="1">
      <x:c r="A131" s="2" t="str">
        <x:v>20250526</x:v>
      </x:c>
      <x:c r="B131" s="2" t="str">
        <x:v>W</x:v>
      </x:c>
      <x:c r="C131" s="2" t="str">
        <x:v>2959</x:v>
      </x:c>
      <x:c r="D131" s="2" t="str">
        <x:v>car</x:v>
      </x:c>
      <x:c r="E131" s="3" t="n">
        <x:v>7.972658301721594</x:v>
      </x:c>
      <x:c r="F131" s="3" t="n">
        <x:v>0</x:v>
      </x:c>
      <x:c r="G131" s="3" t="n">
        <x:v>18.972658301721594</x:v>
      </x:c>
      <x:c r="H131" s="3" t="n">
        <x:v>0</x:v>
      </x:c>
      <x:c r="I131" s="3" t="n">
        <x:f>F131-H131</x:f>
        <x:v>0</x:v>
      </x:c>
      <x:c r="J131" s="3" t="n">
        <x:f>G131-H131</x:f>
        <x:v>18.972658301721594</x:v>
      </x:c>
      <x:c r="K131" s="3" t="n">
        <x:f>E131-H131</x:f>
        <x:v>7.972658301721594</x:v>
      </x:c>
      <x:c r="L131" s="4" t="n">
        <x:v>1</x:v>
      </x:c>
      <x:c r="M131" s="4" t="n">
        <x:v>1</x:v>
      </x:c>
      <x:c r="N131" s="3" t="n">
        <x:f>F131-E131</x:f>
        <x:v>-7.972658301721594</x:v>
      </x:c>
      <x:c r="O131" s="3" t="n">
        <x:f>ABS(N131)</x:f>
        <x:v>7.972658301721594</x:v>
      </x:c>
      <x:c r="P131" s="3" t="n">
        <x:v>1729.3</x:v>
      </x:c>
      <x:c r="Q131" s="3" t="n">
        <x:v>1435.8273416982784</x:v>
      </x:c>
      <x:c r="R131" s="3" t="n">
        <x:v>1435.8273416982784</x:v>
      </x:c>
      <x:c r="S131" s="3" t="n">
        <x:v>1454.8</x:v>
      </x:c>
      <x:c r="T131" s="3" t="n">
        <x:v>1443.8</x:v>
      </x:c>
    </x:row>
    <x:row r="132" ht="20" customHeight="1">
      <x:c r="A132" s="2" t="str">
        <x:v>20250526</x:v>
      </x:c>
      <x:c r="B132" s="2" t="str">
        <x:v>W</x:v>
      </x:c>
      <x:c r="C132" s="2" t="str">
        <x:v>2984</x:v>
      </x:c>
      <x:c r="D132" s="2" t="str">
        <x:v>car</x:v>
      </x:c>
      <x:c r="E132" s="3" t="n">
        <x:v>1.9673609503972784</x:v>
      </x:c>
      <x:c r="F132" s="3" t="n">
        <x:v>0</x:v>
      </x:c>
      <x:c r="G132" s="3" t="n">
        <x:v>12.067360950397187</x:v>
      </x:c>
      <x:c r="H132" s="3" t="n">
        <x:v>0</x:v>
      </x:c>
      <x:c r="I132" s="3" t="n">
        <x:f>F132-H132</x:f>
        <x:v>0</x:v>
      </x:c>
      <x:c r="J132" s="3" t="n">
        <x:f>G132-H132</x:f>
        <x:v>12.067360950397187</x:v>
      </x:c>
      <x:c r="K132" s="3" t="n">
        <x:f>E132-H132</x:f>
        <x:v>1.9673609503972784</x:v>
      </x:c>
      <x:c r="L132" s="4" t="n">
        <x:v>1</x:v>
      </x:c>
      <x:c r="M132" s="4" t="n">
        <x:v>1</x:v>
      </x:c>
      <x:c r="N132" s="3" t="n">
        <x:f>F132-E132</x:f>
        <x:v>-1.9673609503972784</x:v>
      </x:c>
      <x:c r="O132" s="3" t="n">
        <x:f>ABS(N132)</x:f>
        <x:v>1.9673609503972784</x:v>
      </x:c>
      <x:c r="P132" s="3" t="n">
        <x:v>1729.3</x:v>
      </x:c>
      <x:c r="Q132" s="3" t="n">
        <x:v>1443.8326390496027</x:v>
      </x:c>
      <x:c r="R132" s="3" t="n">
        <x:v>1443.8326390496027</x:v>
      </x:c>
      <x:c r="S132" s="3" t="n">
        <x:v>1455.8999999999999</x:v>
      </x:c>
      <x:c r="T132" s="3" t="n">
        <x:v>1445.8</x:v>
      </x:c>
    </x:row>
    <x:row r="133" ht="20" customHeight="1">
      <x:c r="A133" s="2" t="str">
        <x:v>20250526</x:v>
      </x:c>
      <x:c r="B133" s="2" t="str">
        <x:v>W</x:v>
      </x:c>
      <x:c r="C133" s="2" t="str">
        <x:v>2991</x:v>
      </x:c>
      <x:c r="D133" s="2" t="str">
        <x:v>car</x:v>
      </x:c>
      <x:c r="E133" s="3" t="n">
        <x:v>0.9803877703204762</x:v>
      </x:c>
      <x:c r="F133" s="3" t="n">
        <x:v>0</x:v>
      </x:c>
      <x:c r="G133" s="3" t="n">
        <x:v>10.38038777032034</x:v>
      </x:c>
      <x:c r="H133" s="3" t="n">
        <x:v>0</x:v>
      </x:c>
      <x:c r="I133" s="3" t="n">
        <x:f>F133-H133</x:f>
        <x:v>0</x:v>
      </x:c>
      <x:c r="J133" s="3" t="n">
        <x:f>G133-H133</x:f>
        <x:v>10.38038777032034</x:v>
      </x:c>
      <x:c r="K133" s="3" t="n">
        <x:f>E133-H133</x:f>
        <x:v>0.9803877703204762</x:v>
      </x:c>
      <x:c r="L133" s="4" t="n">
        <x:v>1</x:v>
      </x:c>
      <x:c r="M133" s="4" t="n">
        <x:v>1</x:v>
      </x:c>
      <x:c r="N133" s="3" t="n">
        <x:f>F133-E133</x:f>
        <x:v>-0.9803877703204762</x:v>
      </x:c>
      <x:c r="O133" s="3" t="n">
        <x:f>ABS(N133)</x:f>
        <x:v>0.9803877703204762</x:v>
      </x:c>
      <x:c r="P133" s="3" t="n">
        <x:v>1729.3</x:v>
      </x:c>
      <x:c r="Q133" s="3" t="n">
        <x:v>1446.6196122296794</x:v>
      </x:c>
      <x:c r="R133" s="3" t="n">
        <x:v>1446.6196122296794</x:v>
      </x:c>
      <x:c r="S133" s="3" t="n">
        <x:v>1456.9999999999998</x:v>
      </x:c>
      <x:c r="T133" s="3" t="n">
        <x:v>1447.6</x:v>
      </x:c>
    </x:row>
    <x:row r="134" ht="20" customHeight="1">
      <x:c r="A134" s="2" t="str">
        <x:v>20250526</x:v>
      </x:c>
      <x:c r="B134" s="2" t="str">
        <x:v>W</x:v>
      </x:c>
      <x:c r="C134" s="2" t="str">
        <x:v>3315</x:v>
      </x:c>
      <x:c r="D134" s="2" t="str">
        <x:v>car</x:v>
      </x:c>
      <x:c r="E134" s="3" t="n">
        <x:v>76.67655635269602</x:v>
      </x:c>
      <x:c r="F134" s="3" t="n">
        <x:v>72.47655635269598</x:v>
      </x:c>
      <x:c r="G134" s="3" t="n">
        <x:v>71.31655635269635</x:v>
      </x:c>
      <x:c r="H134" s="3" t="n">
        <x:v>58.62655635269607</x:v>
      </x:c>
      <x:c r="I134" s="3" t="n">
        <x:f>F134-H134</x:f>
        <x:v>13.849999999999909</x:v>
      </x:c>
      <x:c r="J134" s="3" t="n">
        <x:f>G134-H134</x:f>
        <x:v>12.690000000000282</x:v>
      </x:c>
      <x:c r="K134" s="3" t="n">
        <x:f>E134-H134</x:f>
        <x:v>18.049999999999955</x:v>
      </x:c>
      <x:c r="L134" s="4" t="n">
        <x:v>1</x:v>
      </x:c>
      <x:c r="M134" s="4" t="n">
        <x:v>1</x:v>
      </x:c>
      <x:c r="N134" s="3" t="n">
        <x:f>F134-E134</x:f>
        <x:v>-4.2000000000000455</x:v>
      </x:c>
      <x:c r="O134" s="3" t="n">
        <x:f>ABS(N134)</x:f>
        <x:v>4.2000000000000455</x:v>
      </x:c>
      <x:c r="P134" s="3" t="n">
        <x:v>1729.3</x:v>
      </x:c>
      <x:c r="Q134" s="3" t="n">
        <x:v>1636.523443647304</x:v>
      </x:c>
      <x:c r="R134" s="3" t="n">
        <x:v>1695.15</x:v>
      </x:c>
      <x:c r="S134" s="3" t="n">
        <x:v>1707.8400000000004</x:v>
      </x:c>
      <x:c r="T134" s="3" t="n">
        <x:v>1713.2</x:v>
      </x:c>
    </x:row>
    <x:row r="135" ht="20" customHeight="1">
      <x:c r="A135" s="2" t="str">
        <x:v>20250526</x:v>
      </x:c>
      <x:c r="B135" s="2" t="str">
        <x:v>W</x:v>
      </x:c>
      <x:c r="C135" s="2" t="str">
        <x:v>3341</x:v>
      </x:c>
      <x:c r="D135" s="2" t="str">
        <x:v>car</x:v>
      </x:c>
      <x:c r="E135" s="3" t="n">
        <x:v>63.26276324924788</x:v>
      </x:c>
      <x:c r="F135" s="3" t="n">
        <x:v>61.662763249247746</x:v>
      </x:c>
      <x:c r="G135" s="3" t="n">
        <x:v>60.50276324924812</x:v>
      </x:c>
      <x:c r="H135" s="3" t="n">
        <x:v>47.81276324924784</x:v>
      </x:c>
      <x:c r="I135" s="3" t="n">
        <x:f>F135-H135</x:f>
        <x:v>13.849999999999909</x:v>
      </x:c>
      <x:c r="J135" s="3" t="n">
        <x:f>G135-H135</x:f>
        <x:v>12.690000000000282</x:v>
      </x:c>
      <x:c r="K135" s="3" t="n">
        <x:f>E135-H135</x:f>
        <x:v>15.450000000000045</x:v>
      </x:c>
      <x:c r="L135" s="4" t="n">
        <x:v>1</x:v>
      </x:c>
      <x:c r="M135" s="4" t="n">
        <x:v>1</x:v>
      </x:c>
      <x:c r="N135" s="3" t="n">
        <x:f>F135-E135</x:f>
        <x:v>-1.6000000000001364</x:v>
      </x:c>
      <x:c r="O135" s="3" t="n">
        <x:f>ABS(N135)</x:f>
        <x:v>1.6000000000001364</x:v>
      </x:c>
      <x:c r="P135" s="3" t="n">
        <x:v>1729.3</x:v>
      </x:c>
      <x:c r="Q135" s="3" t="n">
        <x:v>1648.4372367507522</x:v>
      </x:c>
      <x:c r="R135" s="3" t="n">
        <x:v>1696.25</x:v>
      </x:c>
      <x:c r="S135" s="3" t="n">
        <x:v>1708.9400000000003</x:v>
      </x:c>
      <x:c r="T135" s="3" t="n">
        <x:v>1711.7</x:v>
      </x:c>
    </x:row>
    <x:row r="136" ht="20" customHeight="1">
      <x:c r="A136" s="2" t="str">
        <x:v>20250526</x:v>
      </x:c>
      <x:c r="B136" s="2" t="str">
        <x:v>W</x:v>
      </x:c>
      <x:c r="C136" s="2" t="str">
        <x:v>3348</x:v>
      </x:c>
      <x:c r="D136" s="2" t="str">
        <x:v>car</x:v>
      </x:c>
      <x:c r="E136" s="3" t="n">
        <x:v>63.731975071907755</x:v>
      </x:c>
      <x:c r="F136" s="3" t="n">
        <x:v>59.23197507190753</x:v>
      </x:c>
      <x:c r="G136" s="3" t="n">
        <x:v>58.0719750719079</x:v>
      </x:c>
      <x:c r="H136" s="3" t="n">
        <x:v>45.38197507190762</x:v>
      </x:c>
      <x:c r="I136" s="3" t="n">
        <x:f>F136-H136</x:f>
        <x:v>13.849999999999909</x:v>
      </x:c>
      <x:c r="J136" s="3" t="n">
        <x:f>G136-H136</x:f>
        <x:v>12.690000000000282</x:v>
      </x:c>
      <x:c r="K136" s="3" t="n">
        <x:f>E136-H136</x:f>
        <x:v>18.350000000000136</x:v>
      </x:c>
      <x:c r="L136" s="4" t="n">
        <x:v>1</x:v>
      </x:c>
      <x:c r="M136" s="4" t="n">
        <x:v>1</x:v>
      </x:c>
      <x:c r="N136" s="3" t="n">
        <x:f>F136-E136</x:f>
        <x:v>-4.500000000000227</x:v>
      </x:c>
      <x:c r="O136" s="3" t="n">
        <x:f>ABS(N136)</x:f>
        <x:v>4.500000000000227</x:v>
      </x:c>
      <x:c r="P136" s="3" t="n">
        <x:v>1729.3</x:v>
      </x:c>
      <x:c r="Q136" s="3" t="n">
        <x:v>1651.9680249280923</x:v>
      </x:c>
      <x:c r="R136" s="3" t="n">
        <x:v>1697.35</x:v>
      </x:c>
      <x:c r="S136" s="3" t="n">
        <x:v>1710.0400000000002</x:v>
      </x:c>
      <x:c r="T136" s="3" t="n">
        <x:v>1715.7</x:v>
      </x:c>
    </x:row>
    <x:row r="137" ht="20" customHeight="1">
      <x:c r="A137" s="2" t="str">
        <x:v>20250526</x:v>
      </x:c>
      <x:c r="B137" s="2" t="str">
        <x:v>W</x:v>
      </x:c>
      <x:c r="C137" s="2" t="str">
        <x:v>3392</x:v>
      </x:c>
      <x:c r="D137" s="2" t="str">
        <x:v>car</x:v>
      </x:c>
      <x:c r="E137" s="3" t="n">
        <x:v>41.124832214764865</x:v>
      </x:c>
      <x:c r="F137" s="3" t="n">
        <x:v>37.82483221476468</x:v>
      </x:c>
      <x:c r="G137" s="3" t="n">
        <x:v>36.664832214765056</x:v>
      </x:c>
      <x:c r="H137" s="3" t="n">
        <x:v>23.974832214764774</x:v>
      </x:c>
      <x:c r="I137" s="3" t="n">
        <x:f>F137-H137</x:f>
        <x:v>13.849999999999909</x:v>
      </x:c>
      <x:c r="J137" s="3" t="n">
        <x:f>G137-H137</x:f>
        <x:v>12.690000000000282</x:v>
      </x:c>
      <x:c r="K137" s="3" t="n">
        <x:f>E137-H137</x:f>
        <x:v>17.15000000000009</x:v>
      </x:c>
      <x:c r="L137" s="4" t="n">
        <x:v>1</x:v>
      </x:c>
      <x:c r="M137" s="4" t="n">
        <x:v>1</x:v>
      </x:c>
      <x:c r="N137" s="3" t="n">
        <x:f>F137-E137</x:f>
        <x:v>-3.300000000000182</x:v>
      </x:c>
      <x:c r="O137" s="3" t="n">
        <x:f>ABS(N137)</x:f>
        <x:v>3.300000000000182</x:v>
      </x:c>
      <x:c r="P137" s="3" t="n">
        <x:v>1729.3</x:v>
      </x:c>
      <x:c r="Q137" s="3" t="n">
        <x:v>1674.475167785235</x:v>
      </x:c>
      <x:c r="R137" s="3" t="n">
        <x:v>1698.4499999999998</x:v>
      </x:c>
      <x:c r="S137" s="3" t="n">
        <x:v>1711.14</x:v>
      </x:c>
      <x:c r="T137" s="3" t="n">
        <x:v>1715.6</x:v>
      </x:c>
    </x:row>
    <x:row r="140">
      <x:c r="A140" t="str">
        <x:v>Source: FLUID FIDRT, trajectory/route/signal references; https://figshare.com/articles/dataset/29974954</x:v>
      </x:c>
    </x:row>
    <x:row r="141">
      <x:c r="A141" t="str">
        <x:v>Simulation: original frozen E/W point-queue adapter; old and new ONNX, identical arrivals and calibration.</x:v>
      </x:c>
    </x:row>
    <x:row r="142">
      <x:c r="A142" t="str">
        <x:v>Delay bands: FHWA 2008 Traffic Signal Timing Manual, Table 3-3; https://ops.fhwa.dot.gov/publications/fhwahop08024/chapter3.htm</x:v>
      </x:c>
    </x:row>
    <x:row r="143">
      <x:c r="A143" t="str">
        <x:v>E/W corridor-delay proxy only. Other movements, motorcycles and full intersection LOS are unmeasured.</x:v>
      </x:c>
    </x:row>
  </x:sheetData>
  <x:conditionalFormatting sqref="I2:J137">
    <x:cfRule type="cellIs" dxfId="0" priority="1" operator="lessThan">
      <x:formula>0</x:formula>
    </x:cfRule>
  </x:conditionalFormatting>
  <x:conditionalFormatting sqref="L2:L137">
    <x:cfRule type="cellIs" dxfId="1" priority="2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be8d12730d5458a"/>
  </x:tableParts>
</x:worksheet>
</file>